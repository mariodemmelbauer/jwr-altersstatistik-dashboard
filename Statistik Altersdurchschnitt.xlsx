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5815" documentId="8_{B13851A0-BF92-44E0-9E4C-BF4EA78055B0}" xr6:coauthVersionLast="47" xr6:coauthVersionMax="47" xr10:uidLastSave="{C7833D21-423D-4366-8632-CEE55832D576}"/>
  <bookViews>
    <workbookView xWindow="57480" yWindow="-120" windowWidth="29040" windowHeight="15720" tabRatio="747" activeTab="9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8" l="1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Q6" i="11" a="1"/>
  <c r="Q3" i="11" a="1"/>
  <c r="Q8" i="11" a="1"/>
  <c r="N51" i="8" l="1"/>
  <c r="N47" i="7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8" i="11"/>
  <c r="Q6" i="11"/>
  <c r="Q3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Q5" i="11" a="1"/>
  <c r="Q7" i="11" a="1"/>
  <c r="P9" i="11" a="1"/>
  <c r="M2" i="11" a="1"/>
  <c r="F5" i="11" a="1"/>
  <c r="D8" i="11" a="1"/>
  <c r="H2" i="11" a="1"/>
  <c r="K8" i="11" a="1"/>
  <c r="J6" i="11" a="1"/>
  <c r="O2" i="11" a="1"/>
  <c r="B3" i="11" a="1"/>
  <c r="E7" i="11" a="1"/>
  <c r="F2" i="11" a="1"/>
  <c r="H8" i="11" a="1"/>
  <c r="J8" i="11" a="1"/>
  <c r="N4" i="11" a="1"/>
  <c r="Q2" i="11" a="1"/>
  <c r="J5" i="11" a="1"/>
  <c r="E9" i="11" a="1"/>
  <c r="L2" i="11" a="1"/>
  <c r="B7" i="11" a="1"/>
  <c r="D7" i="11" a="1"/>
  <c r="O3" i="11" a="1"/>
  <c r="O6" i="11" a="1"/>
  <c r="P5" i="11" a="1"/>
  <c r="J7" i="11" a="1"/>
  <c r="P6" i="11" a="1"/>
  <c r="I7" i="11" a="1"/>
  <c r="G6" i="11" a="1"/>
  <c r="I8" i="11" a="1"/>
  <c r="N8" i="11" a="1"/>
  <c r="F3" i="11" a="1"/>
  <c r="O5" i="11" a="1"/>
  <c r="O9" i="11" a="1"/>
  <c r="G9" i="11" a="1"/>
  <c r="Q4" i="11" a="1"/>
  <c r="E5" i="11" a="1"/>
  <c r="M7" i="11" a="1"/>
  <c r="L9" i="11" a="1"/>
  <c r="M6" i="11" a="1"/>
  <c r="L7" i="11" a="1"/>
  <c r="C5" i="11" a="1"/>
  <c r="N7" i="11" a="1"/>
  <c r="F6" i="11" a="1"/>
  <c r="G4" i="11" a="1"/>
  <c r="J3" i="11" a="1"/>
  <c r="N6" i="11" a="1"/>
  <c r="K7" i="11" a="1"/>
  <c r="E2" i="11" a="1"/>
  <c r="B9" i="11" a="1"/>
  <c r="M5" i="11" a="1"/>
  <c r="K4" i="11" a="1"/>
  <c r="Q9" i="11" a="1"/>
  <c r="B2" i="11" a="1"/>
  <c r="P8" i="11" a="1"/>
  <c r="H5" i="11" a="1"/>
  <c r="H4" i="11" a="1"/>
  <c r="L6" i="11" a="1"/>
  <c r="P7" i="11" a="1"/>
  <c r="C7" i="11" a="1"/>
  <c r="F4" i="11" a="1"/>
  <c r="N2" i="11" a="1"/>
  <c r="J4" i="11" a="1"/>
  <c r="D2" i="11" a="1"/>
  <c r="P3" i="11" a="1"/>
  <c r="C4" i="11" a="1"/>
  <c r="B5" i="11" a="1"/>
  <c r="G7" i="11" a="1"/>
  <c r="M8" i="11" a="1"/>
  <c r="B8" i="11" a="1"/>
  <c r="I4" i="11" a="1"/>
  <c r="C9" i="11" a="1"/>
  <c r="F9" i="11" a="1"/>
  <c r="C8" i="11" a="1"/>
  <c r="D3" i="11" a="1"/>
  <c r="G8" i="11" a="1"/>
  <c r="H6" i="11" a="1"/>
  <c r="D5" i="11" a="1"/>
  <c r="E4" i="11" a="1"/>
  <c r="I6" i="11" a="1"/>
  <c r="O4" i="11" a="1"/>
  <c r="G2" i="11" a="1"/>
  <c r="G5" i="11" a="1"/>
  <c r="E6" i="11" a="1"/>
  <c r="K3" i="11" a="1"/>
  <c r="H3" i="11" a="1"/>
  <c r="I9" i="11" a="1"/>
  <c r="C2" i="11" a="1"/>
  <c r="D6" i="11" a="1"/>
  <c r="C6" i="11" a="1"/>
  <c r="K2" i="11" a="1"/>
  <c r="J9" i="11" a="1"/>
  <c r="L5" i="11" a="1"/>
  <c r="B6" i="11" a="1"/>
  <c r="N5" i="11" a="1"/>
  <c r="I5" i="11" a="1"/>
  <c r="H9" i="11" a="1"/>
  <c r="D9" i="11" a="1"/>
  <c r="G3" i="11" a="1"/>
  <c r="F7" i="11" a="1"/>
  <c r="N3" i="11" a="1"/>
  <c r="H7" i="11" a="1"/>
  <c r="I3" i="11" a="1"/>
  <c r="F8" i="11" a="1"/>
  <c r="P4" i="11" a="1"/>
  <c r="N9" i="11" a="1"/>
  <c r="C3" i="11" a="1"/>
  <c r="K5" i="11" a="1"/>
  <c r="L4" i="11" a="1"/>
  <c r="M9" i="11" a="1"/>
  <c r="O8" i="11" a="1"/>
  <c r="E8" i="11" a="1"/>
  <c r="P2" i="11" a="1"/>
  <c r="J2" i="11" a="1"/>
  <c r="L3" i="11" a="1"/>
  <c r="O7" i="11" a="1"/>
  <c r="M3" i="11" a="1"/>
  <c r="K6" i="11" a="1"/>
  <c r="I2" i="11" a="1"/>
  <c r="B4" i="11" a="1"/>
  <c r="D4" i="11" a="1"/>
  <c r="E3" i="11" a="1"/>
  <c r="M4" i="11" a="1"/>
  <c r="K9" i="11" a="1"/>
  <c r="L8" i="11" a="1"/>
  <c r="Q5" i="11" l="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3" i="6" s="1"/>
  <c r="N1" i="8"/>
  <c r="B9" i="6" s="1"/>
  <c r="N1" i="7"/>
  <c r="B2" i="6" s="1"/>
  <c r="N1" i="9"/>
  <c r="B5" i="6" s="1"/>
  <c r="N1" i="3"/>
  <c r="B8" i="6" s="1"/>
  <c r="N1" i="4"/>
  <c r="B7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<sst xmlns="http://schemas.openxmlformats.org/spreadsheetml/2006/main" count="1757" uniqueCount="275">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</sst>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18.727272727272727</c:v>
                </c:pt>
                <c:pt idx="13">
                  <c:v>19.545454545454547</c:v>
                </c:pt>
                <c:pt idx="14">
                  <c:v>18.545454545454547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  <c:pt idx="42" formatCode="0.00">
                  <c:v>19</c:v>
                </c:pt>
                <c:pt idx="44" formatCode="0.00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20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19.90909090909091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20.818181818181817</c:v>
                </c:pt>
                <c:pt idx="39" formatCode="0.00">
                  <c:v>21.363636363636363</c:v>
                </c:pt>
                <c:pt idx="42" formatCode="0.00">
                  <c:v>20.454545454545453</c:v>
                </c:pt>
                <c:pt idx="45" formatCode="0.00">
                  <c:v>20.636363636363637</c:v>
                </c:pt>
                <c:pt idx="48" formatCode="0.00">
                  <c:v>20.272727272727273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19.90909090909091</c:v>
                </c:pt>
                <c:pt idx="1">
                  <c:v>20.181818181818183</c:v>
                </c:pt>
                <c:pt idx="2">
                  <c:v>20.09090909090909</c:v>
                </c:pt>
                <c:pt idx="3">
                  <c:v>19.545454545454547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20.09090909090909</c:v>
                </c:pt>
                <c:pt idx="8">
                  <c:v>20.272727272727273</c:v>
                </c:pt>
                <c:pt idx="9">
                  <c:v>20.272727272727273</c:v>
                </c:pt>
                <c:pt idx="10">
                  <c:v>20.09090909090909</c:v>
                </c:pt>
                <c:pt idx="11">
                  <c:v>19.818181818181817</c:v>
                </c:pt>
                <c:pt idx="12">
                  <c:v>19.818181818181817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20.181818181818183</c:v>
                </c:pt>
                <c:pt idx="1">
                  <c:v>20.363636363636363</c:v>
                </c:pt>
                <c:pt idx="2">
                  <c:v>20.454545454545453</c:v>
                </c:pt>
                <c:pt idx="3">
                  <c:v>20.454545454545453</c:v>
                </c:pt>
                <c:pt idx="4">
                  <c:v>20.818181818181817</c:v>
                </c:pt>
                <c:pt idx="5">
                  <c:v>20.818181818181817</c:v>
                </c:pt>
                <c:pt idx="6">
                  <c:v>20.636363636363637</c:v>
                </c:pt>
                <c:pt idx="7">
                  <c:v>20.272727272727273</c:v>
                </c:pt>
                <c:pt idx="8">
                  <c:v>19.272727272727273</c:v>
                </c:pt>
                <c:pt idx="9">
                  <c:v>19.09090909090909</c:v>
                </c:pt>
                <c:pt idx="10">
                  <c:v>20.818181818181817</c:v>
                </c:pt>
                <c:pt idx="11">
                  <c:v>20.727272727272727</c:v>
                </c:pt>
                <c:pt idx="12">
                  <c:v>20.818181818181817</c:v>
                </c:pt>
                <c:pt idx="13">
                  <c:v>21</c:v>
                </c:pt>
                <c:pt idx="14">
                  <c:v>21</c:v>
                </c:pt>
                <c:pt idx="15">
                  <c:v>21.09090909090909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19.454545454545453</c:v>
                </c:pt>
                <c:pt idx="3">
                  <c:v>20</c:v>
                </c:pt>
                <c:pt idx="6">
                  <c:v>20.09090909090909</c:v>
                </c:pt>
                <c:pt idx="9">
                  <c:v>19.90909090909091</c:v>
                </c:pt>
                <c:pt idx="12">
                  <c:v>19.90909090909091</c:v>
                </c:pt>
                <c:pt idx="15">
                  <c:v>19.818181818181817</c:v>
                </c:pt>
                <c:pt idx="18">
                  <c:v>19.454545454545453</c:v>
                </c:pt>
                <c:pt idx="21">
                  <c:v>19.545454545454547</c:v>
                </c:pt>
                <c:pt idx="24">
                  <c:v>19.636363636363637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19.272727272727273</c:v>
                </c:pt>
                <c:pt idx="36">
                  <c:v>19</c:v>
                </c:pt>
                <c:pt idx="39">
                  <c:v>19.454545454545453</c:v>
                </c:pt>
                <c:pt idx="42">
                  <c:v>19.272727272727273</c:v>
                </c:pt>
                <c:pt idx="45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19.90909090909091</c:v>
                </c:pt>
                <c:pt idx="1">
                  <c:v>20.181818181818183</c:v>
                </c:pt>
                <c:pt idx="2">
                  <c:v>20.09090909090909</c:v>
                </c:pt>
                <c:pt idx="3">
                  <c:v>19.545454545454547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20.09090909090909</c:v>
                </c:pt>
                <c:pt idx="8">
                  <c:v>20.272727272727273</c:v>
                </c:pt>
                <c:pt idx="9">
                  <c:v>20.272727272727273</c:v>
                </c:pt>
                <c:pt idx="10">
                  <c:v>20.09090909090909</c:v>
                </c:pt>
                <c:pt idx="11">
                  <c:v>19.818181818181817</c:v>
                </c:pt>
                <c:pt idx="12">
                  <c:v>19.818181818181817</c:v>
                </c:pt>
                <c:pt idx="13">
                  <c:v>19.727272727272727</c:v>
                </c:pt>
                <c:pt idx="14">
                  <c:v>19.818181818181817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18.545454545454547</c:v>
                </c:pt>
                <c:pt idx="1">
                  <c:v>19.181818181818183</c:v>
                </c:pt>
                <c:pt idx="2">
                  <c:v>18.545454545454547</c:v>
                </c:pt>
                <c:pt idx="3">
                  <c:v>19</c:v>
                </c:pt>
                <c:pt idx="4">
                  <c:v>18.90909090909091</c:v>
                </c:pt>
                <c:pt idx="5">
                  <c:v>18.727272727272727</c:v>
                </c:pt>
                <c:pt idx="6">
                  <c:v>19.818181818181817</c:v>
                </c:pt>
                <c:pt idx="7">
                  <c:v>18.818181818181817</c:v>
                </c:pt>
                <c:pt idx="8">
                  <c:v>18.727272727272727</c:v>
                </c:pt>
                <c:pt idx="9">
                  <c:v>18.181818181818183</c:v>
                </c:pt>
                <c:pt idx="10">
                  <c:v>19.545454545454547</c:v>
                </c:pt>
                <c:pt idx="11">
                  <c:v>19.272727272727273</c:v>
                </c:pt>
                <c:pt idx="12">
                  <c:v>18.727272727272727</c:v>
                </c:pt>
                <c:pt idx="13">
                  <c:v>18.272727272727273</c:v>
                </c:pt>
                <c:pt idx="14">
                  <c:v>19.636363636363637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20.181818181818183</c:v>
                </c:pt>
                <c:pt idx="1">
                  <c:v>20.363636363636363</c:v>
                </c:pt>
                <c:pt idx="2">
                  <c:v>20.454545454545453</c:v>
                </c:pt>
                <c:pt idx="3">
                  <c:v>20.454545454545453</c:v>
                </c:pt>
                <c:pt idx="4">
                  <c:v>20.818181818181817</c:v>
                </c:pt>
                <c:pt idx="5">
                  <c:v>20.818181818181817</c:v>
                </c:pt>
                <c:pt idx="6">
                  <c:v>20.636363636363637</c:v>
                </c:pt>
                <c:pt idx="7">
                  <c:v>20.272727272727273</c:v>
                </c:pt>
                <c:pt idx="8">
                  <c:v>19.272727272727273</c:v>
                </c:pt>
                <c:pt idx="9">
                  <c:v>19.09090909090909</c:v>
                </c:pt>
                <c:pt idx="10">
                  <c:v>20.818181818181817</c:v>
                </c:pt>
                <c:pt idx="11">
                  <c:v>20.727272727272727</c:v>
                </c:pt>
                <c:pt idx="12">
                  <c:v>20.818181818181817</c:v>
                </c:pt>
                <c:pt idx="13">
                  <c:v>21</c:v>
                </c:pt>
                <c:pt idx="14">
                  <c:v>21</c:v>
                </c:pt>
                <c:pt idx="15">
                  <c:v>21.09090909090909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20.727272727272727</c:v>
                </c:pt>
                <c:pt idx="1">
                  <c:v>20.90909090909091</c:v>
                </c:pt>
                <c:pt idx="2">
                  <c:v>20.727272727272727</c:v>
                </c:pt>
                <c:pt idx="3">
                  <c:v>20.636363636363637</c:v>
                </c:pt>
                <c:pt idx="4">
                  <c:v>20.545454545454547</c:v>
                </c:pt>
                <c:pt idx="5">
                  <c:v>19.90909090909091</c:v>
                </c:pt>
                <c:pt idx="6">
                  <c:v>20</c:v>
                </c:pt>
                <c:pt idx="7">
                  <c:v>20.181818181818183</c:v>
                </c:pt>
                <c:pt idx="8">
                  <c:v>20.454545454545453</c:v>
                </c:pt>
                <c:pt idx="9">
                  <c:v>20.181818181818183</c:v>
                </c:pt>
                <c:pt idx="10">
                  <c:v>20.454545454545453</c:v>
                </c:pt>
                <c:pt idx="11">
                  <c:v>20.09090909090909</c:v>
                </c:pt>
                <c:pt idx="12">
                  <c:v>20.181818181818183</c:v>
                </c:pt>
                <c:pt idx="13">
                  <c:v>20.363636363636363</c:v>
                </c:pt>
                <c:pt idx="14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19.454545454545453</c:v>
                </c:pt>
                <c:pt idx="3">
                  <c:v>20</c:v>
                </c:pt>
                <c:pt idx="6">
                  <c:v>20.09090909090909</c:v>
                </c:pt>
                <c:pt idx="9">
                  <c:v>19.90909090909091</c:v>
                </c:pt>
                <c:pt idx="12">
                  <c:v>19.90909090909091</c:v>
                </c:pt>
                <c:pt idx="15">
                  <c:v>19.818181818181817</c:v>
                </c:pt>
                <c:pt idx="18">
                  <c:v>19.454545454545453</c:v>
                </c:pt>
                <c:pt idx="21">
                  <c:v>19.545454545454547</c:v>
                </c:pt>
                <c:pt idx="24">
                  <c:v>19.636363636363637</c:v>
                </c:pt>
                <c:pt idx="27">
                  <c:v>19.363636363636363</c:v>
                </c:pt>
                <c:pt idx="30">
                  <c:v>19.363636363636363</c:v>
                </c:pt>
                <c:pt idx="33">
                  <c:v>19.272727272727273</c:v>
                </c:pt>
                <c:pt idx="36">
                  <c:v>19</c:v>
                </c:pt>
                <c:pt idx="39">
                  <c:v>19.454545454545453</c:v>
                </c:pt>
                <c:pt idx="42">
                  <c:v>19.272727272727273</c:v>
                </c:pt>
                <c:pt idx="45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18.636363636363637</c:v>
                </c:pt>
                <c:pt idx="3" formatCode="0.00">
                  <c:v>18.818181818181817</c:v>
                </c:pt>
                <c:pt idx="6" formatCode="0.00">
                  <c:v>18.90909090909091</c:v>
                </c:pt>
                <c:pt idx="9" formatCode="0.00">
                  <c:v>18.818181818181817</c:v>
                </c:pt>
                <c:pt idx="12" formatCode="0.00">
                  <c:v>18.727272727272727</c:v>
                </c:pt>
                <c:pt idx="15" formatCode="0.00">
                  <c:v>18.818181818181817</c:v>
                </c:pt>
                <c:pt idx="18" formatCode="0.00">
                  <c:v>18.818181818181817</c:v>
                </c:pt>
                <c:pt idx="21" formatCode="0.00">
                  <c:v>18.818181818181817</c:v>
                </c:pt>
                <c:pt idx="24" formatCode="0.00">
                  <c:v>18.636363636363637</c:v>
                </c:pt>
                <c:pt idx="27" formatCode="0.00">
                  <c:v>18.90909090909091</c:v>
                </c:pt>
                <c:pt idx="30" formatCode="0.00">
                  <c:v>18.818181818181817</c:v>
                </c:pt>
                <c:pt idx="33" formatCode="0.00">
                  <c:v>19</c:v>
                </c:pt>
                <c:pt idx="36" formatCode="0.00">
                  <c:v>19.181818181818183</c:v>
                </c:pt>
                <c:pt idx="39" formatCode="0.00">
                  <c:v>18.818181818181817</c:v>
                </c:pt>
                <c:pt idx="42" formatCode="0.00">
                  <c:v>19</c:v>
                </c:pt>
                <c:pt idx="44" formatCode="0.00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</c:v>
                </c:pt>
                <c:pt idx="3" formatCode="0.00">
                  <c:v>20.09090909090909</c:v>
                </c:pt>
                <c:pt idx="6" formatCode="0.00">
                  <c:v>20</c:v>
                </c:pt>
                <c:pt idx="9" formatCode="0.00">
                  <c:v>20.181818181818183</c:v>
                </c:pt>
                <c:pt idx="12" formatCode="0.00">
                  <c:v>19.818181818181817</c:v>
                </c:pt>
                <c:pt idx="15" formatCode="0.00">
                  <c:v>19.90909090909091</c:v>
                </c:pt>
                <c:pt idx="18" formatCode="0.00">
                  <c:v>20.90909090909091</c:v>
                </c:pt>
                <c:pt idx="21" formatCode="0.00">
                  <c:v>20.454545454545453</c:v>
                </c:pt>
                <c:pt idx="24" formatCode="0.00">
                  <c:v>21.363636363636363</c:v>
                </c:pt>
                <c:pt idx="27" formatCode="0.00">
                  <c:v>20.454545454545453</c:v>
                </c:pt>
                <c:pt idx="30" formatCode="0.00">
                  <c:v>20.454545454545453</c:v>
                </c:pt>
                <c:pt idx="33" formatCode="0.00">
                  <c:v>20.454545454545453</c:v>
                </c:pt>
                <c:pt idx="36" formatCode="0.00">
                  <c:v>20.818181818181817</c:v>
                </c:pt>
                <c:pt idx="39" formatCode="0.00">
                  <c:v>21.363636363636363</c:v>
                </c:pt>
                <c:pt idx="42" formatCode="0.00">
                  <c:v>20.454545454545453</c:v>
                </c:pt>
                <c:pt idx="45" formatCode="0.00">
                  <c:v>20.636363636363637</c:v>
                </c:pt>
                <c:pt idx="48" formatCode="0.00">
                  <c:v>20.272727272727273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18.857954545454543</v>
      </c>
    </row>
    <row r="3" spans="1:2" x14ac:dyDescent="0.3">
      <c r="A3" s="4" t="s">
        <v>40</v>
      </c>
      <c r="B3" s="5">
        <f ca="1">'Altach Juniors'!N1</f>
        <v>18.96590909090909</v>
      </c>
    </row>
    <row r="4" spans="1:2" x14ac:dyDescent="0.3">
      <c r="A4" s="2" t="s">
        <v>33</v>
      </c>
      <c r="B4" s="3">
        <f ca="1">JWR!N1</f>
        <v>19.399999999999995</v>
      </c>
    </row>
    <row r="5" spans="1:2" x14ac:dyDescent="0.3">
      <c r="A5" s="4" t="s">
        <v>49</v>
      </c>
      <c r="B5" s="5">
        <f ca="1">Rapid!N1</f>
        <v>19.551136363636363</v>
      </c>
    </row>
    <row r="6" spans="1:2" x14ac:dyDescent="0.3">
      <c r="A6" s="4" t="s">
        <v>4</v>
      </c>
      <c r="B6" s="5">
        <f ca="1">LASK!N1</f>
        <v>19.97575757575758</v>
      </c>
    </row>
    <row r="7" spans="1:2" x14ac:dyDescent="0.3">
      <c r="A7" s="4" t="s">
        <v>41</v>
      </c>
      <c r="B7" s="5">
        <f ca="1">'Young Violets'!N1</f>
        <v>20.488636363636363</v>
      </c>
    </row>
    <row r="8" spans="1:2" x14ac:dyDescent="0.3">
      <c r="A8" s="4" t="s">
        <v>16</v>
      </c>
      <c r="B8" s="5">
        <f ca="1">WAC!N1</f>
        <v>20.393939393939391</v>
      </c>
    </row>
    <row r="9" spans="1:2" x14ac:dyDescent="0.3">
      <c r="A9" s="4" t="s">
        <v>50</v>
      </c>
      <c r="B9" s="5">
        <f ca="1">Sturm!N1</f>
        <v>20.449197860962563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18" sqref="R1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18.727272727272727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0</v>
      </c>
      <c r="R2" s="8"/>
      <c r="S2" s="5"/>
      <c r="T2" s="8"/>
      <c r="U2" s="5"/>
      <c r="V2" s="8"/>
    </row>
    <row r="3" spans="1:22" x14ac:dyDescent="0.3">
      <c r="A3" s="4" t="s">
        <v>4</v>
      </c>
      <c r="B3" s="8" cm="1">
        <f t="array" aca="1" ref="B3" ca="1">INDIRECT("LASK!N" &amp; (COLUMN()-1)*3)</f>
        <v>19.90909090909091</v>
      </c>
      <c r="C3" s="8" cm="1">
        <f t="array" aca="1" ref="C3" ca="1">INDIRECT("LASK!N" &amp; (COLUMN()-1)*3)</f>
        <v>20.181818181818183</v>
      </c>
      <c r="D3" s="8" cm="1">
        <f t="array" aca="1" ref="D3" ca="1">INDIRECT("LASK!N" &amp; (COLUMN()-1)*3)</f>
        <v>20.09090909090909</v>
      </c>
      <c r="E3" s="8" cm="1">
        <f t="array" aca="1" ref="E3" ca="1">INDIRECT("LASK!N" &amp; (COLUMN()-1)*3)</f>
        <v>19.545454545454547</v>
      </c>
      <c r="F3" s="8" cm="1">
        <f t="array" aca="1" ref="F3" ca="1">INDIRECT("LASK!N" &amp; (COLUMN()-1)*3)</f>
        <v>20</v>
      </c>
      <c r="G3" s="8" cm="1">
        <f t="array" aca="1" ref="G3" ca="1">INDIRECT("LASK!N" &amp; (COLUMN()-1)*3)</f>
        <v>20</v>
      </c>
      <c r="H3" s="8" cm="1">
        <f t="array" aca="1" ref="H3" ca="1">INDIRECT("LASK!N" &amp; (COLUMN()-1)*3)</f>
        <v>20</v>
      </c>
      <c r="I3" s="8" cm="1">
        <f t="array" aca="1" ref="I3" ca="1">INDIRECT("LASK!N" &amp; (COLUMN()-1)*3)</f>
        <v>20.09090909090909</v>
      </c>
      <c r="J3" s="8" cm="1">
        <f t="array" aca="1" ref="J3" ca="1">INDIRECT("LASK!N" &amp; (COLUMN()-1)*3)</f>
        <v>20.272727272727273</v>
      </c>
      <c r="K3" s="8" cm="1">
        <f t="array" aca="1" ref="K3" ca="1">INDIRECT("LASK!N" &amp; (COLUMN()-1)*3)</f>
        <v>20.272727272727273</v>
      </c>
      <c r="L3" s="8" cm="1">
        <f t="array" aca="1" ref="L3" ca="1">INDIRECT("LASK!N" &amp; (COLUMN()-1)*3)</f>
        <v>20.09090909090909</v>
      </c>
      <c r="M3" s="8" cm="1">
        <f t="array" aca="1" ref="M3" ca="1">INDIRECT("LASK!N" &amp; (COLUMN()-1)*3)</f>
        <v>19.818181818181817</v>
      </c>
      <c r="N3" s="8" cm="1">
        <f t="array" aca="1" ref="N3" ca="1">INDIRECT("LASK!N" &amp; (COLUMN()-1)*3)</f>
        <v>19.818181818181817</v>
      </c>
      <c r="O3" s="8" cm="1">
        <f t="array" aca="1" ref="O3" ca="1">INDIRECT("LASK!N" &amp; (COLUMN()-1)*3)</f>
        <v>19.727272727272727</v>
      </c>
      <c r="P3" s="8" cm="1">
        <f t="array" aca="1" ref="P3" ca="1">INDIRECT("LASK!N" &amp; (COLUMN()-1)*3)</f>
        <v>19.818181818181817</v>
      </c>
      <c r="Q3" s="8" cm="1">
        <f t="array" aca="1" ref="Q3" ca="1">INDIRECT("LASK!N" &amp; (COLUMN()-1)*3)</f>
        <v>0</v>
      </c>
      <c r="R3" s="5"/>
      <c r="S3" s="5"/>
      <c r="T3" s="5"/>
      <c r="U3" s="5"/>
      <c r="V3" s="5"/>
    </row>
    <row r="4" spans="1:22" x14ac:dyDescent="0.3">
      <c r="A4" s="4" t="s">
        <v>125</v>
      </c>
      <c r="B4" s="5" cm="1">
        <f t="array" aca="1" ref="B4" ca="1">INDIRECT("'Altach Juniors'!N" &amp; (COLUMN()-1)*3)</f>
        <v>18.545454545454547</v>
      </c>
      <c r="C4" s="5" cm="1">
        <f t="array" aca="1" ref="C4" ca="1">INDIRECT("'Altach Juniors'!N" &amp; (COLUMN()-1)*3)</f>
        <v>19.181818181818183</v>
      </c>
      <c r="D4" s="5" cm="1">
        <f t="array" aca="1" ref="D4" ca="1">INDIRECT("'Altach Juniors'!N" &amp; (COLUMN()-1)*3)</f>
        <v>18.545454545454547</v>
      </c>
      <c r="E4" s="5" cm="1">
        <f t="array" aca="1" ref="E4" ca="1">INDIRECT("'Altach Juniors'!N" &amp; (COLUMN()-1)*3)</f>
        <v>19</v>
      </c>
      <c r="F4" s="5" cm="1">
        <f t="array" aca="1" ref="F4" ca="1">INDIRECT("'Altach Juniors'!N" &amp; (COLUMN()-1)*3)</f>
        <v>18.90909090909091</v>
      </c>
      <c r="G4" s="5" cm="1">
        <f t="array" aca="1" ref="G4" ca="1">INDIRECT("'Altach Juniors'!N" &amp; (COLUMN()-1)*3)</f>
        <v>18.727272727272727</v>
      </c>
      <c r="H4" s="5" cm="1">
        <f t="array" aca="1" ref="H4" ca="1">INDIRECT("'Altach Juniors'!N" &amp; (COLUMN()-1)*3)</f>
        <v>19.818181818181817</v>
      </c>
      <c r="I4" s="5" cm="1">
        <f t="array" aca="1" ref="I4" ca="1">INDIRECT("'Altach Juniors'!N" &amp; (COLUMN()-1)*3)</f>
        <v>18.818181818181817</v>
      </c>
      <c r="J4" s="5" cm="1">
        <f t="array" aca="1" ref="J4" ca="1">INDIRECT("'Altach Juniors'!N" &amp; (COLUMN()-1)*3)</f>
        <v>18.727272727272727</v>
      </c>
      <c r="K4" s="5" cm="1">
        <f t="array" aca="1" ref="K4" ca="1">INDIRECT("'Altach Juniors'!N" &amp; (COLUMN()-1)*3)</f>
        <v>18.181818181818183</v>
      </c>
      <c r="L4" s="5" cm="1">
        <f t="array" aca="1" ref="L4" ca="1">INDIRECT("'Altach Juniors'!N" &amp; (COLUMN()-1)*3)</f>
        <v>19.545454545454547</v>
      </c>
      <c r="M4" s="5" cm="1">
        <f t="array" aca="1" ref="M4" ca="1">INDIRECT("'Altach Juniors'!N" &amp; (COLUMN()-1)*3)</f>
        <v>19.272727272727273</v>
      </c>
      <c r="N4" s="5" cm="1">
        <f t="array" aca="1" ref="N4" ca="1">INDIRECT("'Altach Juniors'!N" &amp; (COLUMN()-1)*3)</f>
        <v>18.727272727272727</v>
      </c>
      <c r="O4" s="5" cm="1">
        <f t="array" aca="1" ref="O4" ca="1">INDIRECT("'Altach Juniors'!N" &amp; (COLUMN()-1)*3)</f>
        <v>18.272727272727273</v>
      </c>
      <c r="P4" s="5" cm="1">
        <f t="array" aca="1" ref="P4" ca="1">INDIRECT("'Altach Juniors'!N" &amp; (COLUMN()-1)*3)</f>
        <v>19.636363636363637</v>
      </c>
      <c r="Q4" s="5" cm="1">
        <f t="array" aca="1" ref="Q4" ca="1">INDIRECT("'Altach Juniors'!N" &amp; (COLUMN()-1)*3)</f>
        <v>19.545454545454547</v>
      </c>
      <c r="R4" s="5"/>
      <c r="S4" s="5"/>
      <c r="T4" s="5"/>
      <c r="U4" s="5"/>
      <c r="V4" s="5"/>
    </row>
    <row r="5" spans="1:22" x14ac:dyDescent="0.3">
      <c r="A5" s="4" t="s">
        <v>41</v>
      </c>
      <c r="B5" s="5" cm="1">
        <f t="array" aca="1" ref="B5" ca="1">INDIRECT("'Young Violets'!N" &amp; (COLUMN()-1)*3)</f>
        <v>20.181818181818183</v>
      </c>
      <c r="C5" s="5" cm="1">
        <f t="array" aca="1" ref="C5" ca="1">INDIRECT("'Young Violets'!N" &amp; (COLUMN()-1)*3)</f>
        <v>20.363636363636363</v>
      </c>
      <c r="D5" s="5" cm="1">
        <f t="array" aca="1" ref="D5" ca="1">INDIRECT("'Young Violets'!N" &amp; (COLUMN()-1)*3)</f>
        <v>20.454545454545453</v>
      </c>
      <c r="E5" s="5" cm="1">
        <f t="array" aca="1" ref="E5" ca="1">INDIRECT("'Young Violets'!N" &amp; (COLUMN()-1)*3)</f>
        <v>20.454545454545453</v>
      </c>
      <c r="F5" s="5" cm="1">
        <f t="array" aca="1" ref="F5" ca="1">INDIRECT("'Young Violets'!N" &amp; (COLUMN()-1)*3)</f>
        <v>20.818181818181817</v>
      </c>
      <c r="G5" s="5" cm="1">
        <f t="array" aca="1" ref="G5" ca="1">INDIRECT("'Young Violets'!N" &amp; (COLUMN()-1)*3)</f>
        <v>20.818181818181817</v>
      </c>
      <c r="H5" s="5" cm="1">
        <f t="array" aca="1" ref="H5" ca="1">INDIRECT("'Young Violets'!N" &amp; (COLUMN()-1)*3)</f>
        <v>20.636363636363637</v>
      </c>
      <c r="I5" s="5" cm="1">
        <f t="array" aca="1" ref="I5" ca="1">INDIRECT("'Young Violets'!N" &amp; (COLUMN()-1)*3)</f>
        <v>20.272727272727273</v>
      </c>
      <c r="J5" s="5" cm="1">
        <f t="array" aca="1" ref="J5" ca="1">INDIRECT("'Young Violets'!N" &amp; (COLUMN()-1)*3)</f>
        <v>19.272727272727273</v>
      </c>
      <c r="K5" s="5" cm="1">
        <f t="array" aca="1" ref="K5" ca="1">INDIRECT("'Young Violets'!N" &amp; (COLUMN()-1)*3)</f>
        <v>19.09090909090909</v>
      </c>
      <c r="L5" s="5" cm="1">
        <f t="array" aca="1" ref="L5" ca="1">INDIRECT("'Young Violets'!N" &amp; (COLUMN()-1)*3)</f>
        <v>20.818181818181817</v>
      </c>
      <c r="M5" s="5" cm="1">
        <f t="array" aca="1" ref="M5" ca="1">INDIRECT("'Young Violets'!N" &amp; (COLUMN()-1)*3)</f>
        <v>20.727272727272727</v>
      </c>
      <c r="N5" s="5" cm="1">
        <f t="array" aca="1" ref="N5" ca="1">INDIRECT("'Young Violets'!N" &amp; (COLUMN()-1)*3)</f>
        <v>20.818181818181817</v>
      </c>
      <c r="O5" s="5" cm="1">
        <f t="array" aca="1" ref="O5" ca="1">INDIRECT("'Young Violets'!N" &amp; (COLUMN()-1)*3)</f>
        <v>21</v>
      </c>
      <c r="P5" s="5" cm="1">
        <f t="array" aca="1" ref="P5" ca="1">INDIRECT("'Young Violets'!N" &amp; (COLUMN()-1)*3)</f>
        <v>21</v>
      </c>
      <c r="Q5" s="5" cm="1">
        <f t="array" aca="1" ref="Q5" ca="1">INDIRECT("'Young Violets'!N" &amp; (COLUMN()-1)*3)</f>
        <v>21.09090909090909</v>
      </c>
      <c r="R5" s="5"/>
      <c r="S5" s="5"/>
      <c r="T5" s="5"/>
      <c r="U5" s="5"/>
      <c r="V5" s="5"/>
    </row>
    <row r="6" spans="1:22" x14ac:dyDescent="0.3">
      <c r="A6" s="4" t="s">
        <v>16</v>
      </c>
      <c r="B6" s="5" cm="1">
        <f t="array" aca="1" ref="B6" ca="1">INDIRECT("WAC!N" &amp; (COLUMN()-1)*3)</f>
        <v>20.727272727272727</v>
      </c>
      <c r="C6" s="5" cm="1">
        <f t="array" aca="1" ref="C6" ca="1">INDIRECT("WAC!N" &amp; (COLUMN()-1)*3)</f>
        <v>20.90909090909091</v>
      </c>
      <c r="D6" s="5" cm="1">
        <f t="array" aca="1" ref="D6" ca="1">INDIRECT("WAC!N" &amp; (COLUMN()-1)*3)</f>
        <v>20.727272727272727</v>
      </c>
      <c r="E6" s="5" cm="1">
        <f t="array" aca="1" ref="E6" ca="1">INDIRECT("WAC!N" &amp; (COLUMN()-1)*3)</f>
        <v>20.636363636363637</v>
      </c>
      <c r="F6" s="5" cm="1">
        <f t="array" aca="1" ref="F6" ca="1">INDIRECT("WAC!N" &amp; (COLUMN()-1)*3)</f>
        <v>20.545454545454547</v>
      </c>
      <c r="G6" s="5" cm="1">
        <f t="array" aca="1" ref="G6" ca="1">INDIRECT("WAC!N" &amp; (COLUMN()-1)*3)</f>
        <v>19.90909090909091</v>
      </c>
      <c r="H6" s="5" cm="1">
        <f t="array" aca="1" ref="H6" ca="1">INDIRECT("WAC!N" &amp; (COLUMN()-1)*3)</f>
        <v>20</v>
      </c>
      <c r="I6" s="5" cm="1">
        <f t="array" aca="1" ref="I6" ca="1">INDIRECT("WAC!N" &amp; (COLUMN()-1)*3)</f>
        <v>20.181818181818183</v>
      </c>
      <c r="J6" s="5" cm="1">
        <f t="array" aca="1" ref="J6" ca="1">INDIRECT("WAC!N" &amp; (COLUMN()-1)*3)</f>
        <v>20.454545454545453</v>
      </c>
      <c r="K6" s="5" cm="1">
        <f t="array" aca="1" ref="K6" ca="1">INDIRECT("WAC!N" &amp; (COLUMN()-1)*3)</f>
        <v>20.181818181818183</v>
      </c>
      <c r="L6" s="5" cm="1">
        <f t="array" aca="1" ref="L6" ca="1">INDIRECT("WAC!N" &amp; (COLUMN()-1)*3)</f>
        <v>20.454545454545453</v>
      </c>
      <c r="M6" s="5" cm="1">
        <f t="array" aca="1" ref="M6" ca="1">INDIRECT("WAC!N" &amp; (COLUMN()-1)*3)</f>
        <v>20.09090909090909</v>
      </c>
      <c r="N6" s="5" cm="1">
        <f t="array" aca="1" ref="N6" ca="1">INDIRECT("WAC!N" &amp; (COLUMN()-1)*3)</f>
        <v>20.181818181818183</v>
      </c>
      <c r="O6" s="5" cm="1">
        <f t="array" aca="1" ref="O6" ca="1">INDIRECT("WAC!N" &amp; (COLUMN()-1)*3)</f>
        <v>20.363636363636363</v>
      </c>
      <c r="P6" s="5" cm="1">
        <f t="array" aca="1" ref="P6" ca="1">INDIRECT("WAC!N" &amp; (COLUMN()-1)*3)</f>
        <v>20.545454545454547</v>
      </c>
      <c r="Q6" s="5" cm="1">
        <f t="array" aca="1" ref="Q6" ca="1">INDIRECT("WAC!N" &amp; (COLUMN()-1)*3)</f>
        <v>0</v>
      </c>
      <c r="R6" s="8"/>
      <c r="S6" s="8"/>
      <c r="T6" s="8"/>
      <c r="U6" s="8"/>
      <c r="V6" s="8"/>
    </row>
    <row r="7" spans="1:22" x14ac:dyDescent="0.3">
      <c r="A7" s="4" t="s">
        <v>49</v>
      </c>
      <c r="B7" s="5" cm="1">
        <f t="array" aca="1" ref="B7" ca="1">INDIRECT("Rapid!N" &amp; (COLUMN()-1)*3)</f>
        <v>19.454545454545453</v>
      </c>
      <c r="C7" s="5" cm="1">
        <f t="array" aca="1" ref="C7" ca="1">INDIRECT("Rapid!N" &amp; (COLUMN()-1)*3)</f>
        <v>20</v>
      </c>
      <c r="D7" s="5" cm="1">
        <f t="array" aca="1" ref="D7" ca="1">INDIRECT("Rapid!N" &amp; (COLUMN()-1)*3)</f>
        <v>20.09090909090909</v>
      </c>
      <c r="E7" s="5" cm="1">
        <f t="array" aca="1" ref="E7" ca="1">INDIRECT("Rapid!N" &amp; (COLUMN()-1)*3)</f>
        <v>19.90909090909091</v>
      </c>
      <c r="F7" s="5" cm="1">
        <f t="array" aca="1" ref="F7" ca="1">INDIRECT("Rapid!N" &amp; (COLUMN()-1)*3)</f>
        <v>19.90909090909091</v>
      </c>
      <c r="G7" s="5" cm="1">
        <f t="array" aca="1" ref="G7" ca="1">INDIRECT("Rapid!N" &amp; (COLUMN()-1)*3)</f>
        <v>19.818181818181817</v>
      </c>
      <c r="H7" s="5" cm="1">
        <f t="array" aca="1" ref="H7" ca="1">INDIRECT("Rapid!N" &amp; (COLUMN()-1)*3)</f>
        <v>19.454545454545453</v>
      </c>
      <c r="I7" s="5" cm="1">
        <f t="array" aca="1" ref="I7" ca="1">INDIRECT("Rapid!N" &amp; (COLUMN()-1)*3)</f>
        <v>19.545454545454547</v>
      </c>
      <c r="J7" s="5" cm="1">
        <f t="array" aca="1" ref="J7" ca="1">INDIRECT("Rapid!N" &amp; (COLUMN()-1)*3)</f>
        <v>19.636363636363637</v>
      </c>
      <c r="K7" s="5" cm="1">
        <f t="array" aca="1" ref="K7" ca="1">INDIRECT("Rapid!N" &amp; (COLUMN()-1)*3)</f>
        <v>19.363636363636363</v>
      </c>
      <c r="L7" s="5" cm="1">
        <f t="array" aca="1" ref="L7" ca="1">INDIRECT("Rapid!N" &amp; (COLUMN()-1)*3)</f>
        <v>19.363636363636363</v>
      </c>
      <c r="M7" s="5" cm="1">
        <f t="array" aca="1" ref="M7" ca="1">INDIRECT("Rapid!N" &amp; (COLUMN()-1)*3)</f>
        <v>19.272727272727273</v>
      </c>
      <c r="N7" s="5" cm="1">
        <f t="array" aca="1" ref="N7" ca="1">INDIRECT("Rapid!N" &amp; (COLUMN()-1)*3)</f>
        <v>19</v>
      </c>
      <c r="O7" s="5" cm="1">
        <f t="array" aca="1" ref="O7" ca="1">INDIRECT("Rapid!N" &amp; (COLUMN()-1)*3)</f>
        <v>19.454545454545453</v>
      </c>
      <c r="P7" s="5" cm="1">
        <f t="array" aca="1" ref="P7" ca="1">INDIRECT("Rapid!N" &amp; (COLUMN()-1)*3)</f>
        <v>19.272727272727273</v>
      </c>
      <c r="Q7" s="5" cm="1">
        <f t="array" aca="1" ref="Q7" ca="1">INDIRECT("Rapid!N" &amp; (COLUMN()-1)*3)</f>
        <v>19.272727272727273</v>
      </c>
      <c r="R7" s="5"/>
      <c r="S7" s="5"/>
      <c r="T7" s="5"/>
      <c r="U7" s="5"/>
      <c r="V7" s="5"/>
    </row>
    <row r="8" spans="1:22" x14ac:dyDescent="0.3">
      <c r="A8" s="4" t="s">
        <v>51</v>
      </c>
      <c r="B8" s="5" cm="1">
        <f t="array" aca="1" ref="B8" ca="1">INDIRECT("Liefering!N" &amp; (COLUMN()-1)*3)</f>
        <v>18.636363636363637</v>
      </c>
      <c r="C8" s="5" cm="1">
        <f t="array" aca="1" ref="C8" ca="1">INDIRECT("Liefering!N" &amp; (COLUMN()-1)*3)</f>
        <v>18.818181818181817</v>
      </c>
      <c r="D8" s="5" cm="1">
        <f t="array" aca="1" ref="D8" ca="1">INDIRECT("Liefering!N" &amp; (COLUMN()-1)*3)</f>
        <v>18.90909090909091</v>
      </c>
      <c r="E8" s="5" cm="1">
        <f t="array" aca="1" ref="E8" ca="1">INDIRECT("Liefering!N" &amp; (COLUMN()-1)*3)</f>
        <v>18.818181818181817</v>
      </c>
      <c r="F8" s="5" cm="1">
        <f t="array" aca="1" ref="F8" ca="1">INDIRECT("Liefering!N" &amp; (COLUMN()-1)*3)</f>
        <v>18.727272727272727</v>
      </c>
      <c r="G8" s="5" cm="1">
        <f t="array" aca="1" ref="G8" ca="1">INDIRECT("Liefering!N" &amp; (COLUMN()-1)*3)</f>
        <v>18.818181818181817</v>
      </c>
      <c r="H8" s="5" cm="1">
        <f t="array" aca="1" ref="H8" ca="1">INDIRECT("Liefering!N" &amp; (COLUMN()-1)*3)</f>
        <v>18.818181818181817</v>
      </c>
      <c r="I8" s="5" cm="1">
        <f t="array" aca="1" ref="I8" ca="1">INDIRECT("Liefering!N" &amp; (COLUMN()-1)*3)</f>
        <v>18.818181818181817</v>
      </c>
      <c r="J8" s="5" cm="1">
        <f t="array" aca="1" ref="J8" ca="1">INDIRECT("Liefering!N" &amp; (COLUMN()-1)*3)</f>
        <v>18.636363636363637</v>
      </c>
      <c r="K8" s="5" cm="1">
        <f t="array" aca="1" ref="K8" ca="1">INDIRECT("Liefering!N" &amp; (COLUMN()-1)*3)</f>
        <v>18.90909090909091</v>
      </c>
      <c r="L8" s="5" cm="1">
        <f t="array" aca="1" ref="L8" ca="1">INDIRECT("Liefering!N" &amp; (COLUMN()-1)*3)</f>
        <v>18.818181818181817</v>
      </c>
      <c r="M8" s="5" cm="1">
        <f t="array" aca="1" ref="M8" ca="1">INDIRECT("Liefering!N" &amp; (COLUMN()-1)*3)</f>
        <v>19</v>
      </c>
      <c r="N8" s="5" cm="1">
        <f t="array" aca="1" ref="N8" ca="1">INDIRECT("Liefering!N" &amp; (COLUMN()-1)*3)</f>
        <v>19.181818181818183</v>
      </c>
      <c r="O8" s="5" cm="1">
        <f t="array" aca="1" ref="O8" ca="1">INDIRECT("Liefering!N" &amp; (COLUMN()-1)*3)</f>
        <v>18.818181818181817</v>
      </c>
      <c r="P8" s="5" cm="1">
        <f t="array" aca="1" ref="P8" ca="1">INDIRECT("Liefering!N" &amp; (COLUMN()-1)*3)</f>
        <v>19</v>
      </c>
      <c r="Q8" s="5" cm="1">
        <f t="array" aca="1" ref="Q8" ca="1">INDIRECT("Liefering!N" &amp; (COLUMN()-1)*3)</f>
        <v>0</v>
      </c>
      <c r="R8" s="5"/>
      <c r="S8" s="5"/>
      <c r="T8" s="5"/>
      <c r="U8" s="5"/>
      <c r="V8" s="5"/>
    </row>
    <row r="9" spans="1:22" x14ac:dyDescent="0.3">
      <c r="A9" s="4" t="s">
        <v>50</v>
      </c>
      <c r="B9" s="5" cm="1">
        <f t="array" aca="1" ref="B9" ca="1">INDIRECT("Sturm!N" &amp; (COLUMN()-1)*3)</f>
        <v>20</v>
      </c>
      <c r="C9" s="5" cm="1">
        <f t="array" aca="1" ref="C9" ca="1">INDIRECT("Sturm!N" &amp; (COLUMN()-1)*3)</f>
        <v>20.09090909090909</v>
      </c>
      <c r="D9" s="5" cm="1">
        <f t="array" aca="1" ref="D9" ca="1">INDIRECT("Sturm!N" &amp; (COLUMN()-1)*3)</f>
        <v>20</v>
      </c>
      <c r="E9" s="5" cm="1">
        <f t="array" aca="1" ref="E9" ca="1">INDIRECT("Sturm!N" &amp; (COLUMN()-1)*3)</f>
        <v>20.181818181818183</v>
      </c>
      <c r="F9" s="5" cm="1">
        <f t="array" aca="1" ref="F9" ca="1">INDIRECT("Sturm!N" &amp; (COLUMN()-1)*3)</f>
        <v>19.818181818181817</v>
      </c>
      <c r="G9" s="5" cm="1">
        <f t="array" aca="1" ref="G9" ca="1">INDIRECT("Sturm!N" &amp; (COLUMN()-1)*3)</f>
        <v>19.90909090909091</v>
      </c>
      <c r="H9" s="5" cm="1">
        <f t="array" aca="1" ref="H9" ca="1">INDIRECT("Sturm!N" &amp; (COLUMN()-1)*3)</f>
        <v>20.90909090909091</v>
      </c>
      <c r="I9" s="5" cm="1">
        <f t="array" aca="1" ref="I9" ca="1">INDIRECT("Sturm!N" &amp; (COLUMN()-1)*3)</f>
        <v>20.454545454545453</v>
      </c>
      <c r="J9" s="5" cm="1">
        <f t="array" aca="1" ref="J9" ca="1">INDIRECT("Sturm!N" &amp; (COLUMN()-1)*3)</f>
        <v>21.363636363636363</v>
      </c>
      <c r="K9" s="5" cm="1">
        <f t="array" aca="1" ref="K9" ca="1">INDIRECT("Sturm!N" &amp; (COLUMN()-1)*3)</f>
        <v>20.454545454545453</v>
      </c>
      <c r="L9" s="5" cm="1">
        <f t="array" aca="1" ref="L9" ca="1">INDIRECT("Sturm!N" &amp; (COLUMN()-1)*3)</f>
        <v>20.454545454545453</v>
      </c>
      <c r="M9" s="5" cm="1">
        <f t="array" aca="1" ref="M9" ca="1">INDIRECT("Sturm!N" &amp; (COLUMN()-1)*3)</f>
        <v>20.454545454545453</v>
      </c>
      <c r="N9" s="5" cm="1">
        <f t="array" aca="1" ref="N9" ca="1">INDIRECT("Sturm!N" &amp; (COLUMN()-1)*3)</f>
        <v>20.818181818181817</v>
      </c>
      <c r="O9" s="5" cm="1">
        <f t="array" aca="1" ref="O9" ca="1">INDIRECT("Sturm!N" &amp; (COLUMN()-1)*3)</f>
        <v>21.363636363636363</v>
      </c>
      <c r="P9" s="5" cm="1">
        <f t="array" aca="1" ref="P9" ca="1">INDIRECT("Sturm!N" &amp; (COLUMN()-1)*3)</f>
        <v>20.454545454545453</v>
      </c>
      <c r="Q9" s="5" cm="1">
        <f t="array" aca="1" ref="Q9" ca="1">INDIRECT("Sturm!N" &amp; (COLUMN()-1)*3)</f>
        <v>20.636363636363637</v>
      </c>
      <c r="R9" s="5"/>
      <c r="S9" s="5"/>
      <c r="T9" s="5"/>
      <c r="U9" s="5"/>
      <c r="V9" s="5"/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Q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1" zoomScale="90" zoomScaleNormal="90" workbookViewId="0">
      <selection activeCell="A47" sqref="A47:O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19.399999999999995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17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18.727272727272727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</row>
    <row r="48" spans="1:17" x14ac:dyDescent="0.3">
      <c r="N48" s="1"/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  <row r="63" spans="14:14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5"/>
  <sheetViews>
    <sheetView topLeftCell="A16" zoomScaleNormal="100" workbookViewId="0">
      <selection activeCell="P43" sqref="P43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19.97575757575758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20</v>
      </c>
      <c r="E3">
        <f t="shared" ca="1" si="0"/>
        <v>20</v>
      </c>
      <c r="F3">
        <f t="shared" ca="1" si="0"/>
        <v>19</v>
      </c>
      <c r="G3">
        <f t="shared" ca="1" si="0"/>
        <v>23</v>
      </c>
      <c r="H3">
        <f t="shared" ca="1" si="0"/>
        <v>19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19.90909090909091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23</v>
      </c>
      <c r="H6">
        <f t="shared" ca="1" si="1"/>
        <v>19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20</v>
      </c>
      <c r="N6" s="1">
        <f ca="1">AVERAGE(B6:M6)</f>
        <v>20.181818181818183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23</v>
      </c>
      <c r="H9">
        <f t="shared" ca="1" si="2"/>
        <v>19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20.09090909090909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19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19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20</v>
      </c>
      <c r="E18">
        <f t="shared" ca="1" si="5"/>
        <v>20</v>
      </c>
      <c r="F18">
        <f t="shared" ca="1" si="5"/>
        <v>23</v>
      </c>
      <c r="G18">
        <f t="shared" ca="1" si="5"/>
        <v>20</v>
      </c>
      <c r="H18">
        <f t="shared" ca="1" si="5"/>
        <v>19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20</v>
      </c>
      <c r="E21">
        <f t="shared" ca="1" si="6"/>
        <v>20</v>
      </c>
      <c r="F21">
        <f t="shared" ca="1" si="6"/>
        <v>23</v>
      </c>
      <c r="G21">
        <f t="shared" ca="1" si="6"/>
        <v>22</v>
      </c>
      <c r="H21">
        <f t="shared" ca="1" si="6"/>
        <v>19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20</v>
      </c>
      <c r="E24">
        <f t="shared" ca="1" si="7"/>
        <v>20</v>
      </c>
      <c r="F24">
        <f t="shared" ca="1" si="7"/>
        <v>23</v>
      </c>
      <c r="G24">
        <f t="shared" ca="1" si="7"/>
        <v>20</v>
      </c>
      <c r="H24">
        <f t="shared" ca="1" si="7"/>
        <v>19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20.09090909090909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20</v>
      </c>
      <c r="E27">
        <f t="shared" ca="1" si="8"/>
        <v>20</v>
      </c>
      <c r="F27">
        <f t="shared" ca="1" si="8"/>
        <v>23</v>
      </c>
      <c r="G27">
        <f t="shared" ca="1" si="8"/>
        <v>20</v>
      </c>
      <c r="H27">
        <f t="shared" ca="1" si="8"/>
        <v>19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20.272727272727273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20</v>
      </c>
      <c r="E30">
        <f t="shared" ca="1" si="9"/>
        <v>20</v>
      </c>
      <c r="F30">
        <f t="shared" ca="1" si="9"/>
        <v>23</v>
      </c>
      <c r="G30">
        <f t="shared" ca="1" si="9"/>
        <v>20</v>
      </c>
      <c r="H30">
        <f t="shared" ca="1" si="9"/>
        <v>19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20.272727272727273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20</v>
      </c>
      <c r="E33">
        <f t="shared" ca="1" si="10"/>
        <v>20</v>
      </c>
      <c r="F33">
        <f t="shared" ca="1" si="10"/>
        <v>23</v>
      </c>
      <c r="G33">
        <f t="shared" ca="1" si="10"/>
        <v>20</v>
      </c>
      <c r="H33">
        <f t="shared" ca="1" si="10"/>
        <v>19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20.09090909090909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23</v>
      </c>
      <c r="G36">
        <f t="shared" ca="1" si="11"/>
        <v>20</v>
      </c>
      <c r="H36">
        <f t="shared" ca="1" si="11"/>
        <v>19</v>
      </c>
      <c r="I36">
        <f t="shared" ca="1" si="11"/>
        <v>20</v>
      </c>
      <c r="J36">
        <f t="shared" ca="1" si="11"/>
        <v>20</v>
      </c>
      <c r="K36">
        <f t="shared" ca="1" si="11"/>
        <v>19</v>
      </c>
      <c r="L36">
        <f t="shared" ca="1" si="11"/>
        <v>19</v>
      </c>
      <c r="N36" s="1">
        <f ca="1">AVERAGE(B36:M36)</f>
        <v>19.818181818181817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20</v>
      </c>
      <c r="E39">
        <f t="shared" ca="1" si="12"/>
        <v>20</v>
      </c>
      <c r="F39">
        <f t="shared" ca="1" si="12"/>
        <v>23</v>
      </c>
      <c r="G39">
        <f t="shared" ca="1" si="12"/>
        <v>20</v>
      </c>
      <c r="H39">
        <f t="shared" ca="1" si="12"/>
        <v>19</v>
      </c>
      <c r="I39">
        <f t="shared" ca="1" si="12"/>
        <v>20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19.818181818181817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20</v>
      </c>
      <c r="F42">
        <f t="shared" ca="1" si="13"/>
        <v>23</v>
      </c>
      <c r="G42">
        <f t="shared" ca="1" si="13"/>
        <v>20</v>
      </c>
      <c r="H42">
        <f t="shared" ca="1" si="13"/>
        <v>19</v>
      </c>
      <c r="I42">
        <f t="shared" ca="1" si="13"/>
        <v>20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19.727272727272727</v>
      </c>
      <c r="P42" t="s">
        <v>265</v>
      </c>
      <c r="Q42" s="6">
        <v>38062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18</v>
      </c>
      <c r="E45">
        <f t="shared" ca="1" si="14"/>
        <v>21</v>
      </c>
      <c r="F45">
        <f t="shared" ca="1" si="14"/>
        <v>23</v>
      </c>
      <c r="G45">
        <f t="shared" ca="1" si="14"/>
        <v>20</v>
      </c>
      <c r="H45">
        <f t="shared" ca="1" si="14"/>
        <v>19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19.818181818181817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18.96590909090909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18</v>
      </c>
      <c r="E3">
        <f t="shared" ca="1" si="0"/>
        <v>19</v>
      </c>
      <c r="F3">
        <f t="shared" ca="1" si="0"/>
        <v>18</v>
      </c>
      <c r="G3">
        <f t="shared" ca="1" si="0"/>
        <v>17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21</v>
      </c>
      <c r="N3" s="1">
        <f ca="1">AVERAGE(B3:M3)</f>
        <v>18.545454545454547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21</v>
      </c>
      <c r="N6" s="1">
        <f ca="1">AVERAGE(B6:M6)</f>
        <v>19.181818181818183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18</v>
      </c>
      <c r="E9">
        <f t="shared" ca="1" si="2"/>
        <v>19</v>
      </c>
      <c r="F9">
        <f t="shared" ca="1" si="2"/>
        <v>18</v>
      </c>
      <c r="G9">
        <f t="shared" ca="1" si="2"/>
        <v>17</v>
      </c>
      <c r="H9">
        <f t="shared" ca="1" si="2"/>
        <v>19</v>
      </c>
      <c r="I9">
        <f t="shared" ca="1" si="2"/>
        <v>17</v>
      </c>
      <c r="J9">
        <f t="shared" ca="1" si="2"/>
        <v>21</v>
      </c>
      <c r="K9">
        <f t="shared" ca="1" si="2"/>
        <v>22</v>
      </c>
      <c r="L9">
        <f t="shared" ca="1" si="2"/>
        <v>18</v>
      </c>
      <c r="N9" s="1">
        <f ca="1">AVERAGE(B9:M9)</f>
        <v>18.545454545454547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21</v>
      </c>
      <c r="E12">
        <f t="shared" ca="1" si="3"/>
        <v>19</v>
      </c>
      <c r="F12">
        <f t="shared" ca="1" si="3"/>
        <v>18</v>
      </c>
      <c r="G12">
        <f t="shared" ca="1" si="3"/>
        <v>17</v>
      </c>
      <c r="H12">
        <f t="shared" ca="1" si="3"/>
        <v>19</v>
      </c>
      <c r="I12">
        <f t="shared" ca="1" si="3"/>
        <v>17</v>
      </c>
      <c r="J12">
        <f t="shared" ca="1" si="3"/>
        <v>21</v>
      </c>
      <c r="K12">
        <f t="shared" ca="1" si="3"/>
        <v>22</v>
      </c>
      <c r="L12">
        <f t="shared" ca="1" si="3"/>
        <v>20</v>
      </c>
      <c r="N12" s="1">
        <f ca="1">AVERAGE(B12:M12)</f>
        <v>19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16</v>
      </c>
      <c r="D15">
        <f t="shared" ca="1" si="4"/>
        <v>21</v>
      </c>
      <c r="E15">
        <f t="shared" ca="1" si="4"/>
        <v>19</v>
      </c>
      <c r="F15">
        <f t="shared" ca="1" si="4"/>
        <v>18</v>
      </c>
      <c r="G15">
        <f t="shared" ca="1" si="4"/>
        <v>18</v>
      </c>
      <c r="H15">
        <f t="shared" ca="1" si="4"/>
        <v>19</v>
      </c>
      <c r="I15">
        <f t="shared" ca="1" si="4"/>
        <v>17</v>
      </c>
      <c r="J15">
        <f t="shared" ca="1" si="4"/>
        <v>21</v>
      </c>
      <c r="K15">
        <f t="shared" ca="1" si="4"/>
        <v>22</v>
      </c>
      <c r="L15">
        <f t="shared" ca="1" si="4"/>
        <v>18</v>
      </c>
      <c r="N15" s="1">
        <f ca="1">AVERAGE(B15:M15)</f>
        <v>18.90909090909091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17</v>
      </c>
      <c r="D18">
        <f t="shared" ca="1" si="5"/>
        <v>21</v>
      </c>
      <c r="E18">
        <f t="shared" ca="1" si="5"/>
        <v>19</v>
      </c>
      <c r="F18">
        <f t="shared" ca="1" si="5"/>
        <v>18</v>
      </c>
      <c r="G18">
        <f t="shared" ca="1" si="5"/>
        <v>18</v>
      </c>
      <c r="H18">
        <f t="shared" ca="1" si="5"/>
        <v>17</v>
      </c>
      <c r="I18">
        <f t="shared" ca="1" si="5"/>
        <v>17</v>
      </c>
      <c r="J18">
        <f t="shared" ca="1" si="5"/>
        <v>21</v>
      </c>
      <c r="K18">
        <f t="shared" ca="1" si="5"/>
        <v>22</v>
      </c>
      <c r="L18">
        <f t="shared" ca="1" si="5"/>
        <v>17</v>
      </c>
      <c r="N18" s="1">
        <f ca="1">AVERAGE(B18:M18)</f>
        <v>18.727272727272727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16</v>
      </c>
      <c r="D21">
        <f t="shared" ca="1" si="6"/>
        <v>20</v>
      </c>
      <c r="E21">
        <f t="shared" ca="1" si="6"/>
        <v>19</v>
      </c>
      <c r="F21">
        <f t="shared" ca="1" si="6"/>
        <v>18</v>
      </c>
      <c r="G21">
        <f t="shared" ca="1" si="6"/>
        <v>20</v>
      </c>
      <c r="H21">
        <f t="shared" ca="1" si="6"/>
        <v>23</v>
      </c>
      <c r="I21">
        <f t="shared" ca="1" si="6"/>
        <v>17</v>
      </c>
      <c r="J21">
        <f t="shared" ca="1" si="6"/>
        <v>21</v>
      </c>
      <c r="K21">
        <f t="shared" ca="1" si="6"/>
        <v>22</v>
      </c>
      <c r="L21">
        <f t="shared" ca="1" si="6"/>
        <v>23</v>
      </c>
      <c r="N21" s="1">
        <f ca="1">AVERAGE(B21:M21)</f>
        <v>19.818181818181817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16</v>
      </c>
      <c r="D24">
        <f t="shared" ca="1" si="7"/>
        <v>17</v>
      </c>
      <c r="E24">
        <f t="shared" ca="1" si="7"/>
        <v>19</v>
      </c>
      <c r="F24">
        <f t="shared" ca="1" si="7"/>
        <v>18</v>
      </c>
      <c r="G24">
        <f t="shared" ca="1" si="7"/>
        <v>20</v>
      </c>
      <c r="H24">
        <f t="shared" ca="1" si="7"/>
        <v>23</v>
      </c>
      <c r="I24">
        <f t="shared" ca="1" si="7"/>
        <v>17</v>
      </c>
      <c r="J24">
        <f t="shared" ca="1" si="7"/>
        <v>18</v>
      </c>
      <c r="K24">
        <f t="shared" ca="1" si="7"/>
        <v>22</v>
      </c>
      <c r="L24">
        <f t="shared" ca="1" si="7"/>
        <v>18</v>
      </c>
      <c r="N24" s="1">
        <f ca="1">AVERAGE(B24:M24)</f>
        <v>18.818181818181817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16</v>
      </c>
      <c r="D27">
        <f t="shared" ca="1" si="8"/>
        <v>21</v>
      </c>
      <c r="E27">
        <f t="shared" ca="1" si="8"/>
        <v>19</v>
      </c>
      <c r="F27">
        <f t="shared" ca="1" si="8"/>
        <v>18</v>
      </c>
      <c r="G27">
        <f t="shared" ca="1" si="8"/>
        <v>17</v>
      </c>
      <c r="H27">
        <f t="shared" ca="1" si="8"/>
        <v>21</v>
      </c>
      <c r="I27">
        <f t="shared" ca="1" si="8"/>
        <v>17</v>
      </c>
      <c r="J27">
        <f t="shared" ca="1" si="8"/>
        <v>18</v>
      </c>
      <c r="K27">
        <f t="shared" ca="1" si="8"/>
        <v>22</v>
      </c>
      <c r="L27">
        <f t="shared" ca="1" si="8"/>
        <v>18</v>
      </c>
      <c r="N27" s="1">
        <f ca="1">AVERAGE(B27:M27)</f>
        <v>18.727272727272727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17</v>
      </c>
      <c r="E30">
        <f t="shared" ca="1" si="9"/>
        <v>18</v>
      </c>
      <c r="F30">
        <f t="shared" ca="1" si="9"/>
        <v>18</v>
      </c>
      <c r="G30">
        <f t="shared" ca="1" si="9"/>
        <v>19</v>
      </c>
      <c r="H30">
        <f t="shared" ca="1" si="9"/>
        <v>17</v>
      </c>
      <c r="I30">
        <f t="shared" ca="1" si="9"/>
        <v>21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18.181818181818183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17</v>
      </c>
      <c r="E33">
        <f t="shared" ca="1" si="10"/>
        <v>18</v>
      </c>
      <c r="F33">
        <f t="shared" ca="1" si="10"/>
        <v>18</v>
      </c>
      <c r="G33">
        <f t="shared" ca="1" si="10"/>
        <v>19</v>
      </c>
      <c r="H33">
        <f t="shared" ca="1" si="10"/>
        <v>23</v>
      </c>
      <c r="I33">
        <f t="shared" ca="1" si="10"/>
        <v>21</v>
      </c>
      <c r="J33">
        <f t="shared" ca="1" si="10"/>
        <v>17</v>
      </c>
      <c r="K33">
        <f t="shared" ca="1" si="10"/>
        <v>21</v>
      </c>
      <c r="L33">
        <f t="shared" ca="1" si="10"/>
        <v>23</v>
      </c>
      <c r="N33" s="1">
        <f ca="1">AVERAGE(B33:M33)</f>
        <v>19.545454545454547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17</v>
      </c>
      <c r="E36">
        <f t="shared" ca="1" si="11"/>
        <v>20</v>
      </c>
      <c r="F36">
        <f t="shared" ca="1" si="11"/>
        <v>18</v>
      </c>
      <c r="G36">
        <f t="shared" ca="1" si="11"/>
        <v>19</v>
      </c>
      <c r="H36">
        <f t="shared" ca="1" si="11"/>
        <v>23</v>
      </c>
      <c r="I36">
        <f t="shared" ca="1" si="11"/>
        <v>16</v>
      </c>
      <c r="J36">
        <f t="shared" ca="1" si="11"/>
        <v>17</v>
      </c>
      <c r="K36">
        <f t="shared" ca="1" si="11"/>
        <v>21</v>
      </c>
      <c r="L36">
        <f t="shared" ca="1" si="11"/>
        <v>23</v>
      </c>
      <c r="N36" s="1">
        <f ca="1">AVERAGE(B36:M36)</f>
        <v>19.272727272727273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17</v>
      </c>
      <c r="E39">
        <f t="shared" ca="1" si="12"/>
        <v>20</v>
      </c>
      <c r="F39">
        <f t="shared" ca="1" si="12"/>
        <v>18</v>
      </c>
      <c r="G39">
        <f t="shared" ca="1" si="12"/>
        <v>19</v>
      </c>
      <c r="H39">
        <f t="shared" ca="1" si="12"/>
        <v>23</v>
      </c>
      <c r="I39">
        <f t="shared" ca="1" si="12"/>
        <v>16</v>
      </c>
      <c r="J39">
        <f t="shared" ca="1" si="12"/>
        <v>17</v>
      </c>
      <c r="K39">
        <f t="shared" ca="1" si="12"/>
        <v>21</v>
      </c>
      <c r="L39">
        <f t="shared" ca="1" si="12"/>
        <v>18</v>
      </c>
      <c r="N39" s="1">
        <f ca="1">AVERAGE(B39:M39)</f>
        <v>18.727272727272727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17</v>
      </c>
      <c r="D42">
        <f t="shared" ca="1" si="13"/>
        <v>17</v>
      </c>
      <c r="E42">
        <f t="shared" ca="1" si="13"/>
        <v>22</v>
      </c>
      <c r="F42">
        <f t="shared" ca="1" si="13"/>
        <v>18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21</v>
      </c>
      <c r="L42">
        <f t="shared" ca="1" si="13"/>
        <v>18</v>
      </c>
      <c r="N42" s="1">
        <f ca="1">AVERAGE(B42:M42)</f>
        <v>18.272727272727273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22</v>
      </c>
      <c r="E45">
        <f t="shared" ca="1" si="14"/>
        <v>22</v>
      </c>
      <c r="F45">
        <f t="shared" ca="1" si="14"/>
        <v>18</v>
      </c>
      <c r="G45">
        <f t="shared" ca="1" si="14"/>
        <v>19</v>
      </c>
      <c r="H45">
        <f t="shared" ca="1" si="14"/>
        <v>23</v>
      </c>
      <c r="I45">
        <f t="shared" ca="1" si="14"/>
        <v>16</v>
      </c>
      <c r="J45">
        <f t="shared" ca="1" si="14"/>
        <v>20</v>
      </c>
      <c r="K45">
        <f t="shared" ca="1" si="14"/>
        <v>21</v>
      </c>
      <c r="L45">
        <f t="shared" ca="1" si="14"/>
        <v>18</v>
      </c>
      <c r="N45" s="1">
        <f ca="1">AVERAGE(B45:M45)</f>
        <v>19.636363636363637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19</v>
      </c>
      <c r="C48">
        <f t="shared" ref="C48:L48" ca="1" si="15">DATEDIF(VLOOKUP(C47,$P$18:$Q$100,2,FALSE),TODAY(),"Y")</f>
        <v>17</v>
      </c>
      <c r="D48">
        <f t="shared" ca="1" si="15"/>
        <v>22</v>
      </c>
      <c r="E48">
        <f t="shared" ca="1" si="15"/>
        <v>22</v>
      </c>
      <c r="F48">
        <f t="shared" ca="1" si="15"/>
        <v>18</v>
      </c>
      <c r="G48">
        <f t="shared" ca="1" si="15"/>
        <v>19</v>
      </c>
      <c r="H48">
        <f t="shared" ca="1" si="15"/>
        <v>23</v>
      </c>
      <c r="I48">
        <f t="shared" ca="1" si="15"/>
        <v>16</v>
      </c>
      <c r="J48">
        <f t="shared" ca="1" si="15"/>
        <v>20</v>
      </c>
      <c r="K48">
        <f t="shared" ca="1" si="15"/>
        <v>21</v>
      </c>
      <c r="L48">
        <f t="shared" ca="1" si="15"/>
        <v>18</v>
      </c>
      <c r="N48" s="1">
        <f ca="1">AVERAGE(B48:M48)</f>
        <v>19.545454545454547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G48" sqref="G48"/>
    </sheetView>
  </sheetViews>
  <sheetFormatPr baseColWidth="10" defaultRowHeight="14.4" x14ac:dyDescent="0.3"/>
  <sheetData>
    <row r="1" spans="1:14" x14ac:dyDescent="0.3">
      <c r="N1" s="1">
        <f ca="1">AVERAGE(N2:N99)</f>
        <v>20.488636363636363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17</v>
      </c>
      <c r="H3">
        <f t="shared" ca="1" si="0"/>
        <v>18</v>
      </c>
      <c r="I3">
        <f t="shared" ca="1" si="0"/>
        <v>19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20.181818181818183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17</v>
      </c>
      <c r="H6">
        <f t="shared" ca="1" si="1"/>
        <v>18</v>
      </c>
      <c r="I6">
        <f t="shared" ca="1" si="1"/>
        <v>19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20.363636363636363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18</v>
      </c>
      <c r="I9">
        <f t="shared" ca="1" si="2"/>
        <v>19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20.454545454545453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19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20.454545454545453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19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20.818181818181817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20.818181818181817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23</v>
      </c>
      <c r="H21">
        <f t="shared" ca="1" si="6"/>
        <v>18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20.636363636363637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17</v>
      </c>
      <c r="J24">
        <f t="shared" ca="1" si="7"/>
        <v>18</v>
      </c>
      <c r="K24">
        <f t="shared" ca="1" si="7"/>
        <v>17</v>
      </c>
      <c r="L24">
        <f t="shared" ca="1" si="7"/>
        <v>36</v>
      </c>
      <c r="N24" s="1">
        <f ca="1">AVERAGE(B24:M24)</f>
        <v>20.272727272727273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17</v>
      </c>
      <c r="J27">
        <f t="shared" ca="1" si="8"/>
        <v>18</v>
      </c>
      <c r="K27">
        <f t="shared" ca="1" si="8"/>
        <v>23</v>
      </c>
      <c r="L27">
        <f t="shared" ca="1" si="8"/>
        <v>19</v>
      </c>
      <c r="N27" s="1">
        <f ca="1">AVERAGE(B27:M27)</f>
        <v>19.272727272727273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19.09090909090909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17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20.818181818181817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17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20.727272727272727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17</v>
      </c>
      <c r="I39">
        <f t="shared" ca="1" si="12"/>
        <v>20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20.818181818181817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19</v>
      </c>
      <c r="N42" s="1">
        <f ca="1">AVERAGE(B42:M42)</f>
        <v>21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18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19</v>
      </c>
      <c r="N45" s="1">
        <f ca="1">AVERAGE(B45:M45)</f>
        <v>21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20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21.09090909090909</v>
      </c>
    </row>
    <row r="51" spans="14:14" x14ac:dyDescent="0.3">
      <c r="N51" s="1"/>
    </row>
    <row r="54" spans="14:14" x14ac:dyDescent="0.3">
      <c r="N54" s="1"/>
    </row>
    <row r="57" spans="14:14" x14ac:dyDescent="0.3">
      <c r="N57" s="1"/>
    </row>
    <row r="60" spans="14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5"/>
  <sheetViews>
    <sheetView topLeftCell="A19" workbookViewId="0">
      <selection activeCell="P46" sqref="P46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20.393939393939391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19</v>
      </c>
      <c r="J3">
        <f t="shared" ca="1" si="0"/>
        <v>21</v>
      </c>
      <c r="K3">
        <f t="shared" ca="1" si="0"/>
        <v>21</v>
      </c>
      <c r="L3">
        <f t="shared" ca="1" si="0"/>
        <v>18</v>
      </c>
      <c r="N3" s="1">
        <f ca="1">AVERAGE(B3:M3)</f>
        <v>20.727272727272727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19</v>
      </c>
      <c r="J6">
        <f t="shared" ca="1" si="1"/>
        <v>21</v>
      </c>
      <c r="K6">
        <f t="shared" ca="1" si="1"/>
        <v>21</v>
      </c>
      <c r="L6">
        <f t="shared" ca="1" si="1"/>
        <v>18</v>
      </c>
      <c r="N6" s="1">
        <f ca="1">AVERAGE(B6:M6)</f>
        <v>20.90909090909091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19</v>
      </c>
      <c r="J9">
        <f t="shared" ca="1" si="2"/>
        <v>21</v>
      </c>
      <c r="K9">
        <f t="shared" ca="1" si="2"/>
        <v>21</v>
      </c>
      <c r="L9">
        <f t="shared" ca="1" si="2"/>
        <v>18</v>
      </c>
      <c r="N9" s="1">
        <f ca="1">AVERAGE(B9:M9)</f>
        <v>20.727272727272727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19</v>
      </c>
      <c r="J12">
        <f t="shared" ca="1" si="3"/>
        <v>21</v>
      </c>
      <c r="K12">
        <f t="shared" ca="1" si="3"/>
        <v>18</v>
      </c>
      <c r="L12">
        <f t="shared" ca="1" si="3"/>
        <v>18</v>
      </c>
      <c r="N12" s="1">
        <f t="shared" ref="N12" ca="1" si="4">AVERAGE(B12:M12)</f>
        <v>20.636363636363637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21</v>
      </c>
      <c r="K15">
        <f t="shared" ca="1" si="5"/>
        <v>18</v>
      </c>
      <c r="L15">
        <f t="shared" ca="1" si="5"/>
        <v>18</v>
      </c>
      <c r="N15" s="1">
        <f ca="1">AVERAGE(B15:L15)</f>
        <v>20.545454545454547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20</v>
      </c>
      <c r="I18">
        <f t="shared" ca="1" si="6"/>
        <v>19</v>
      </c>
      <c r="J18">
        <f t="shared" ca="1" si="6"/>
        <v>21</v>
      </c>
      <c r="K18">
        <f t="shared" ca="1" si="6"/>
        <v>18</v>
      </c>
      <c r="L18">
        <f t="shared" ca="1" si="6"/>
        <v>18</v>
      </c>
      <c r="N18" s="1">
        <f ca="1">AVERAGE(B18:L18)</f>
        <v>19.90909090909091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19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21</v>
      </c>
      <c r="K21">
        <f t="shared" ca="1" si="7"/>
        <v>18</v>
      </c>
      <c r="L21">
        <f t="shared" ca="1" si="7"/>
        <v>19</v>
      </c>
      <c r="N21" s="1">
        <f ca="1">AVERAGE(B21:L21)</f>
        <v>20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19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19</v>
      </c>
      <c r="I24">
        <f t="shared" ca="1" si="8"/>
        <v>19</v>
      </c>
      <c r="J24">
        <f t="shared" ca="1" si="8"/>
        <v>21</v>
      </c>
      <c r="K24">
        <f t="shared" ca="1" si="8"/>
        <v>18</v>
      </c>
      <c r="L24">
        <f t="shared" ca="1" si="8"/>
        <v>19</v>
      </c>
      <c r="N24" s="1">
        <f ca="1">AVERAGE(B24:L24)</f>
        <v>20.181818181818183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19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21</v>
      </c>
      <c r="K27">
        <f t="shared" ca="1" si="9"/>
        <v>20</v>
      </c>
      <c r="L27">
        <f t="shared" ca="1" si="9"/>
        <v>19</v>
      </c>
      <c r="N27" s="1">
        <f ca="1">AVERAGE(B27:L27)</f>
        <v>20.454545454545453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20</v>
      </c>
      <c r="H30">
        <f t="shared" ca="1" si="10"/>
        <v>20</v>
      </c>
      <c r="I30">
        <f t="shared" ca="1" si="10"/>
        <v>19</v>
      </c>
      <c r="J30">
        <f t="shared" ca="1" si="10"/>
        <v>21</v>
      </c>
      <c r="K30">
        <f t="shared" ca="1" si="10"/>
        <v>20</v>
      </c>
      <c r="L30">
        <f t="shared" ca="1" si="10"/>
        <v>19</v>
      </c>
      <c r="N30" s="1">
        <f ca="1">AVERAGE(B30:L30)</f>
        <v>20.181818181818183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19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21</v>
      </c>
      <c r="K33">
        <f t="shared" ca="1" si="11"/>
        <v>20</v>
      </c>
      <c r="L33">
        <f t="shared" ca="1" si="11"/>
        <v>19</v>
      </c>
      <c r="N33" s="1">
        <f ca="1">AVERAGE(B33:L33)</f>
        <v>20.454545454545453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20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18</v>
      </c>
      <c r="I36">
        <f t="shared" ca="1" si="12"/>
        <v>19</v>
      </c>
      <c r="J36">
        <f t="shared" ca="1" si="12"/>
        <v>21</v>
      </c>
      <c r="K36">
        <f t="shared" ca="1" si="12"/>
        <v>20</v>
      </c>
      <c r="L36">
        <f t="shared" ca="1" si="12"/>
        <v>19</v>
      </c>
      <c r="N36" s="1">
        <f ca="1">AVERAGE(B36:L36)</f>
        <v>20.09090909090909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18</v>
      </c>
      <c r="I39">
        <f t="shared" ca="1" si="13"/>
        <v>19</v>
      </c>
      <c r="J39">
        <f t="shared" ca="1" si="13"/>
        <v>21</v>
      </c>
      <c r="K39">
        <f t="shared" ca="1" si="13"/>
        <v>20</v>
      </c>
      <c r="L39">
        <f t="shared" ca="1" si="13"/>
        <v>19</v>
      </c>
      <c r="N39" s="1">
        <f ca="1">AVERAGE(B39:L39)</f>
        <v>20.181818181818183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20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18</v>
      </c>
      <c r="I42">
        <f t="shared" ca="1" si="14"/>
        <v>19</v>
      </c>
      <c r="J42">
        <f t="shared" ca="1" si="14"/>
        <v>20</v>
      </c>
      <c r="K42">
        <f t="shared" ca="1" si="14"/>
        <v>20</v>
      </c>
      <c r="L42">
        <f t="shared" ca="1" si="14"/>
        <v>19</v>
      </c>
      <c r="N42" s="1">
        <f ca="1">AVERAGE(B42:L42)</f>
        <v>20.363636363636363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20</v>
      </c>
      <c r="D45">
        <f t="shared" ca="1" si="15"/>
        <v>20</v>
      </c>
      <c r="E45">
        <f t="shared" ca="1" si="15"/>
        <v>20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18</v>
      </c>
      <c r="K45">
        <f t="shared" ca="1" si="15"/>
        <v>20</v>
      </c>
      <c r="L45">
        <f t="shared" ca="1" si="15"/>
        <v>19</v>
      </c>
      <c r="N45" s="1">
        <f ca="1">AVERAGE(B45:L45)</f>
        <v>20.545454545454547</v>
      </c>
      <c r="P45" t="s">
        <v>267</v>
      </c>
      <c r="Q45" s="6">
        <v>37955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0" workbookViewId="0">
      <selection activeCell="L48" sqref="L48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19.551136363636363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19</v>
      </c>
      <c r="E3">
        <f t="shared" ca="1" si="0"/>
        <v>19</v>
      </c>
      <c r="F3">
        <f t="shared" ca="1" si="0"/>
        <v>24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21</v>
      </c>
      <c r="N3" s="1">
        <f ca="1">AVERAGE(B3:M3)</f>
        <v>19.454545454545453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19</v>
      </c>
      <c r="E6">
        <f t="shared" ca="1" si="1"/>
        <v>19</v>
      </c>
      <c r="F6">
        <f t="shared" ca="1" si="1"/>
        <v>24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19</v>
      </c>
      <c r="E9">
        <f t="shared" ca="1" si="2"/>
        <v>19</v>
      </c>
      <c r="F9">
        <f t="shared" ca="1" si="2"/>
        <v>24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20.09090909090909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24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19.90909090909091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24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19.90909090909091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24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19.818181818181817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24</v>
      </c>
      <c r="G21">
        <f t="shared" ca="1" si="6"/>
        <v>18</v>
      </c>
      <c r="H21">
        <f t="shared" ca="1" si="6"/>
        <v>19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19.454545454545453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24</v>
      </c>
      <c r="G24">
        <f t="shared" ca="1" si="7"/>
        <v>18</v>
      </c>
      <c r="H24">
        <f t="shared" ca="1" si="7"/>
        <v>19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19.545454545454547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24</v>
      </c>
      <c r="G27">
        <f t="shared" ca="1" si="8"/>
        <v>18</v>
      </c>
      <c r="H27">
        <f t="shared" ca="1" si="8"/>
        <v>20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19.636363636363637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24</v>
      </c>
      <c r="G30">
        <f t="shared" ca="1" si="9"/>
        <v>18</v>
      </c>
      <c r="H30">
        <f t="shared" ca="1" si="9"/>
        <v>20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19.363636363636363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24</v>
      </c>
      <c r="G33">
        <f t="shared" ca="1" si="10"/>
        <v>18</v>
      </c>
      <c r="H33">
        <f t="shared" ca="1" si="10"/>
        <v>20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19.363636363636363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18</v>
      </c>
      <c r="F36">
        <f t="shared" ca="1" si="11"/>
        <v>24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19.272727272727273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18</v>
      </c>
      <c r="F39">
        <f t="shared" ca="1" si="12"/>
        <v>24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24</v>
      </c>
      <c r="G42">
        <f t="shared" ca="1" si="13"/>
        <v>19</v>
      </c>
      <c r="H42">
        <f t="shared" ca="1" si="13"/>
        <v>21</v>
      </c>
      <c r="I42">
        <f t="shared" ca="1" si="13"/>
        <v>20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19.454545454545453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19</v>
      </c>
      <c r="E45">
        <f t="shared" ca="1" si="14"/>
        <v>18</v>
      </c>
      <c r="F45">
        <f t="shared" ca="1" si="14"/>
        <v>24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19.272727272727273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19</v>
      </c>
      <c r="E48">
        <f t="shared" ca="1" si="15"/>
        <v>18</v>
      </c>
      <c r="F48">
        <f t="shared" ca="1" si="15"/>
        <v>24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19.272727272727273</v>
      </c>
    </row>
    <row r="62" spans="14:15" x14ac:dyDescent="0.3">
      <c r="N62"/>
      <c r="O62" s="1"/>
    </row>
    <row r="63" spans="14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28" workbookViewId="0">
      <selection activeCell="N48" sqref="N48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18.857954545454543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18</v>
      </c>
      <c r="C3">
        <f t="shared" ref="C3:L3" ca="1" si="0">DATEDIF(VLOOKUP(C2,$P$18:$Q$100,2,FALSE),TODAY(),"Y")</f>
        <v>19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19</v>
      </c>
      <c r="H3">
        <f t="shared" ca="1" si="0"/>
        <v>19</v>
      </c>
      <c r="I3">
        <f t="shared" ca="1" si="0"/>
        <v>17</v>
      </c>
      <c r="J3">
        <f t="shared" ca="1" si="0"/>
        <v>19</v>
      </c>
      <c r="K3">
        <f t="shared" ca="1" si="0"/>
        <v>19</v>
      </c>
      <c r="L3">
        <f t="shared" ca="1" si="0"/>
        <v>19</v>
      </c>
      <c r="N3" s="1">
        <f ca="1">AVERAGE(B3:M3)</f>
        <v>18.636363636363637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18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20</v>
      </c>
      <c r="F6">
        <f t="shared" ca="1" si="1"/>
        <v>18</v>
      </c>
      <c r="G6">
        <f t="shared" ca="1" si="1"/>
        <v>19</v>
      </c>
      <c r="H6">
        <f t="shared" ca="1" si="1"/>
        <v>19</v>
      </c>
      <c r="I6">
        <f t="shared" ca="1" si="1"/>
        <v>17</v>
      </c>
      <c r="J6">
        <f t="shared" ca="1" si="1"/>
        <v>19</v>
      </c>
      <c r="K6">
        <f t="shared" ca="1" si="1"/>
        <v>19</v>
      </c>
      <c r="L6">
        <f t="shared" ca="1" si="1"/>
        <v>19</v>
      </c>
      <c r="N6" s="1">
        <f ca="1">AVERAGE(B6:M6)</f>
        <v>18.818181818181817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18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20</v>
      </c>
      <c r="F9">
        <f t="shared" ca="1" si="2"/>
        <v>18</v>
      </c>
      <c r="G9">
        <f t="shared" ca="1" si="2"/>
        <v>19</v>
      </c>
      <c r="H9">
        <f t="shared" ca="1" si="2"/>
        <v>19</v>
      </c>
      <c r="I9">
        <f t="shared" ca="1" si="2"/>
        <v>18</v>
      </c>
      <c r="J9">
        <f t="shared" ca="1" si="2"/>
        <v>19</v>
      </c>
      <c r="K9">
        <f t="shared" ca="1" si="2"/>
        <v>19</v>
      </c>
      <c r="L9">
        <f t="shared" ca="1" si="2"/>
        <v>19</v>
      </c>
      <c r="N9" s="1">
        <f ca="1">AVERAGE(B9:M9)</f>
        <v>18.90909090909091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20</v>
      </c>
      <c r="F12">
        <f t="shared" ca="1" si="3"/>
        <v>18</v>
      </c>
      <c r="G12">
        <f t="shared" ca="1" si="3"/>
        <v>19</v>
      </c>
      <c r="H12">
        <f t="shared" ca="1" si="3"/>
        <v>19</v>
      </c>
      <c r="I12">
        <f t="shared" ca="1" si="3"/>
        <v>17</v>
      </c>
      <c r="J12">
        <f t="shared" ca="1" si="3"/>
        <v>19</v>
      </c>
      <c r="K12">
        <f t="shared" ca="1" si="3"/>
        <v>19</v>
      </c>
      <c r="L12">
        <f t="shared" ca="1" si="3"/>
        <v>19</v>
      </c>
      <c r="N12" s="1">
        <f ca="1">AVERAGE(B12:M12)</f>
        <v>18.818181818181817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20</v>
      </c>
      <c r="E15">
        <f t="shared" ca="1" si="4"/>
        <v>20</v>
      </c>
      <c r="F15">
        <f t="shared" ca="1" si="4"/>
        <v>18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19</v>
      </c>
      <c r="K15">
        <f t="shared" ca="1" si="4"/>
        <v>18</v>
      </c>
      <c r="L15">
        <f t="shared" ca="1" si="4"/>
        <v>19</v>
      </c>
      <c r="N15" s="1">
        <f ca="1">AVERAGE(B15:M15)</f>
        <v>18.727272727272727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20</v>
      </c>
      <c r="E18">
        <f t="shared" ca="1" si="5"/>
        <v>18</v>
      </c>
      <c r="F18">
        <f t="shared" ca="1" si="5"/>
        <v>19</v>
      </c>
      <c r="G18">
        <f t="shared" ca="1" si="5"/>
        <v>19</v>
      </c>
      <c r="H18">
        <f t="shared" ca="1" si="5"/>
        <v>19</v>
      </c>
      <c r="I18">
        <f t="shared" ca="1" si="5"/>
        <v>17</v>
      </c>
      <c r="J18">
        <f t="shared" ca="1" si="5"/>
        <v>19</v>
      </c>
      <c r="K18">
        <f t="shared" ca="1" si="5"/>
        <v>20</v>
      </c>
      <c r="L18">
        <f t="shared" ca="1" si="5"/>
        <v>19</v>
      </c>
      <c r="N18" s="1">
        <f ca="1">AVERAGE(B18:M18)</f>
        <v>18.818181818181817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18</v>
      </c>
      <c r="D21">
        <f t="shared" ca="1" si="6"/>
        <v>20</v>
      </c>
      <c r="E21">
        <f t="shared" ca="1" si="6"/>
        <v>18</v>
      </c>
      <c r="F21">
        <f t="shared" ca="1" si="6"/>
        <v>21</v>
      </c>
      <c r="G21">
        <f t="shared" ca="1" si="6"/>
        <v>19</v>
      </c>
      <c r="H21">
        <f t="shared" ca="1" si="6"/>
        <v>18</v>
      </c>
      <c r="I21">
        <f t="shared" ca="1" si="6"/>
        <v>17</v>
      </c>
      <c r="J21">
        <f t="shared" ca="1" si="6"/>
        <v>19</v>
      </c>
      <c r="K21">
        <f t="shared" ca="1" si="6"/>
        <v>19</v>
      </c>
      <c r="L21">
        <f t="shared" ca="1" si="6"/>
        <v>19</v>
      </c>
      <c r="N21" s="1">
        <f ca="1">AVERAGE(B21:M21)</f>
        <v>18.818181818181817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18</v>
      </c>
      <c r="D24">
        <f t="shared" ca="1" si="7"/>
        <v>20</v>
      </c>
      <c r="E24">
        <f t="shared" ca="1" si="7"/>
        <v>19</v>
      </c>
      <c r="F24">
        <f t="shared" ca="1" si="7"/>
        <v>21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19</v>
      </c>
      <c r="K24">
        <f t="shared" ca="1" si="7"/>
        <v>19</v>
      </c>
      <c r="L24">
        <f t="shared" ca="1" si="7"/>
        <v>19</v>
      </c>
      <c r="N24" s="1">
        <f ca="1">AVERAGE(B24:M24)</f>
        <v>18.818181818181817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18</v>
      </c>
      <c r="C27">
        <f t="shared" ref="C27:L27" ca="1" si="8">DATEDIF(VLOOKUP(C26,$P$18:$Q$100,2,FALSE),TODAY(),"Y")</f>
        <v>19</v>
      </c>
      <c r="D27">
        <f t="shared" ca="1" si="8"/>
        <v>20</v>
      </c>
      <c r="E27">
        <f t="shared" ca="1" si="8"/>
        <v>19</v>
      </c>
      <c r="F27">
        <f t="shared" ca="1" si="8"/>
        <v>18</v>
      </c>
      <c r="G27">
        <f t="shared" ca="1" si="8"/>
        <v>19</v>
      </c>
      <c r="H27">
        <f t="shared" ca="1" si="8"/>
        <v>18</v>
      </c>
      <c r="I27">
        <f t="shared" ca="1" si="8"/>
        <v>17</v>
      </c>
      <c r="J27">
        <f t="shared" ca="1" si="8"/>
        <v>19</v>
      </c>
      <c r="K27">
        <f t="shared" ca="1" si="8"/>
        <v>19</v>
      </c>
      <c r="L27">
        <f t="shared" ca="1" si="8"/>
        <v>19</v>
      </c>
      <c r="N27" s="1">
        <f ca="1">AVERAGE(B27:M27)</f>
        <v>18.636363636363637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19</v>
      </c>
      <c r="D30">
        <f t="shared" ca="1" si="9"/>
        <v>20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18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19</v>
      </c>
      <c r="N30" s="1">
        <f ca="1">AVERAGE(B30:M30)</f>
        <v>18.90909090909091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18</v>
      </c>
      <c r="D33">
        <f t="shared" ca="1" si="10"/>
        <v>20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18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18.818181818181817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18</v>
      </c>
      <c r="C36">
        <f t="shared" ref="C36:L36" ca="1" si="11">DATEDIF(VLOOKUP(C35,$P$18:$Q$100,2,FALSE),TODAY(),"Y")</f>
        <v>18</v>
      </c>
      <c r="D36">
        <f t="shared" ca="1" si="11"/>
        <v>20</v>
      </c>
      <c r="E36">
        <f t="shared" ca="1" si="11"/>
        <v>19</v>
      </c>
      <c r="F36">
        <f t="shared" ca="1" si="11"/>
        <v>19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18</v>
      </c>
      <c r="D39">
        <f t="shared" ca="1" si="12"/>
        <v>20</v>
      </c>
      <c r="E39">
        <f t="shared" ca="1" si="12"/>
        <v>19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19.181818181818183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18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19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18</v>
      </c>
      <c r="K42">
        <f t="shared" ca="1" si="13"/>
        <v>19</v>
      </c>
      <c r="L42">
        <f t="shared" ca="1" si="13"/>
        <v>19</v>
      </c>
      <c r="N42" s="1">
        <f ca="1">AVERAGE(B42:M42)</f>
        <v>18.818181818181817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18</v>
      </c>
      <c r="C45">
        <f t="shared" ref="C45:L45" ca="1" si="14">DATEDIF(VLOOKUP(C44,$P$18:$Q$100,2,FALSE),TODAY(),"Y")</f>
        <v>18</v>
      </c>
      <c r="D45">
        <f t="shared" ca="1" si="14"/>
        <v>18</v>
      </c>
      <c r="E45">
        <f t="shared" ca="1" si="14"/>
        <v>19</v>
      </c>
      <c r="F45">
        <f t="shared" ca="1" si="14"/>
        <v>19</v>
      </c>
      <c r="G45">
        <f t="shared" ca="1" si="14"/>
        <v>20</v>
      </c>
      <c r="H45">
        <f t="shared" ca="1" si="14"/>
        <v>20</v>
      </c>
      <c r="I45">
        <f t="shared" ca="1" si="14"/>
        <v>19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>
        <f ca="1">AVERAGE(B48:M48)</f>
        <v>19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19</v>
      </c>
      <c r="F48">
        <f t="shared" ca="1" si="15"/>
        <v>19</v>
      </c>
      <c r="G48">
        <f t="shared" ca="1" si="15"/>
        <v>20</v>
      </c>
      <c r="H48">
        <f t="shared" ca="1" si="15"/>
        <v>18</v>
      </c>
      <c r="I48">
        <f t="shared" ca="1" si="15"/>
        <v>19</v>
      </c>
      <c r="J48">
        <f t="shared" ca="1" si="15"/>
        <v>19</v>
      </c>
      <c r="K48">
        <f t="shared" ca="1" si="15"/>
        <v>19</v>
      </c>
      <c r="L48">
        <f t="shared" ca="1" si="15"/>
        <v>19</v>
      </c>
      <c r="N48" s="1"/>
    </row>
    <row r="50" spans="14:14" x14ac:dyDescent="0.3">
      <c r="N50" s="1"/>
    </row>
    <row r="51" spans="14:14" x14ac:dyDescent="0.3">
      <c r="N51" s="1"/>
    </row>
    <row r="53" spans="14:14" x14ac:dyDescent="0.3">
      <c r="N53" s="1"/>
    </row>
    <row r="54" spans="14:14" x14ac:dyDescent="0.3">
      <c r="N54" s="1"/>
    </row>
    <row r="56" spans="14:14" x14ac:dyDescent="0.3">
      <c r="N56" s="1"/>
    </row>
    <row r="57" spans="14:14" x14ac:dyDescent="0.3">
      <c r="N57" s="1"/>
    </row>
    <row r="59" spans="14:14" x14ac:dyDescent="0.3">
      <c r="N59" s="1"/>
    </row>
    <row r="60" spans="14:14" x14ac:dyDescent="0.3">
      <c r="N60" s="1"/>
    </row>
    <row r="62" spans="14:14" x14ac:dyDescent="0.3">
      <c r="N62" s="1"/>
    </row>
    <row r="63" spans="14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abSelected="1" topLeftCell="A33" workbookViewId="0">
      <selection activeCell="H51" sqref="H51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20.449197860962563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19</v>
      </c>
      <c r="H3">
        <f t="shared" ca="1" si="0"/>
        <v>16</v>
      </c>
      <c r="I3">
        <f t="shared" ca="1" si="0"/>
        <v>21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</v>
      </c>
    </row>
    <row r="5" spans="1:14" x14ac:dyDescent="0.3">
      <c r="A5" t="s">
        <v>46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19</v>
      </c>
      <c r="H6">
        <f t="shared" ca="1" si="1"/>
        <v>16</v>
      </c>
      <c r="I6">
        <f t="shared" ca="1" si="1"/>
        <v>21</v>
      </c>
      <c r="J6">
        <f t="shared" ca="1" si="1"/>
        <v>25</v>
      </c>
      <c r="K6">
        <f t="shared" ca="1" si="1"/>
        <v>19</v>
      </c>
      <c r="L6">
        <f t="shared" ca="1" si="1"/>
        <v>18</v>
      </c>
      <c r="N6" s="1">
        <f ca="1">AVERAGE(B6:M6)</f>
        <v>20.09090909090909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19</v>
      </c>
      <c r="H9">
        <f t="shared" ca="1" si="2"/>
        <v>16</v>
      </c>
      <c r="I9">
        <f t="shared" ca="1" si="2"/>
        <v>21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19</v>
      </c>
      <c r="H12">
        <f t="shared" ca="1" si="3"/>
        <v>20</v>
      </c>
      <c r="I12">
        <f t="shared" ca="1" si="3"/>
        <v>21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20.181818181818183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16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19.818181818181817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16</v>
      </c>
      <c r="J18">
        <f t="shared" ca="1" si="5"/>
        <v>19</v>
      </c>
      <c r="K18">
        <f t="shared" ca="1" si="5"/>
        <v>25</v>
      </c>
      <c r="L18">
        <f t="shared" ca="1" si="5"/>
        <v>18</v>
      </c>
      <c r="N18" s="1">
        <f ca="1">AVERAGE(B18:M18)</f>
        <v>19.90909090909091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21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25</v>
      </c>
      <c r="L21">
        <f t="shared" ca="1" si="6"/>
        <v>18</v>
      </c>
      <c r="N21" s="1">
        <f ca="1">AVERAGE(B21:M21)</f>
        <v>20.90909090909091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21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16</v>
      </c>
      <c r="J24">
        <f t="shared" ca="1" si="7"/>
        <v>20</v>
      </c>
      <c r="K24">
        <f t="shared" ca="1" si="7"/>
        <v>25</v>
      </c>
      <c r="L24">
        <f t="shared" ca="1" si="7"/>
        <v>26</v>
      </c>
      <c r="N24" s="1">
        <f ca="1">AVERAGE(B24:M24)</f>
        <v>20.454545454545453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21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25</v>
      </c>
      <c r="L27">
        <f t="shared" ca="1" si="8"/>
        <v>26</v>
      </c>
      <c r="N27" s="1">
        <f ca="1">AVERAGE(B27:M27)</f>
        <v>21.363636363636363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21</v>
      </c>
      <c r="F30">
        <f t="shared" ca="1" si="9"/>
        <v>19</v>
      </c>
      <c r="G30">
        <f t="shared" ca="1" si="9"/>
        <v>16</v>
      </c>
      <c r="H30">
        <f t="shared" ca="1" si="9"/>
        <v>18</v>
      </c>
      <c r="I30">
        <f t="shared" ca="1" si="9"/>
        <v>19</v>
      </c>
      <c r="J30">
        <f t="shared" ca="1" si="9"/>
        <v>20</v>
      </c>
      <c r="K30">
        <f t="shared" ca="1" si="9"/>
        <v>25</v>
      </c>
      <c r="L30">
        <f t="shared" ca="1" si="9"/>
        <v>26</v>
      </c>
      <c r="N30" s="1">
        <f ca="1">AVERAGE(B30:M30)</f>
        <v>20.454545454545453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16</v>
      </c>
      <c r="H33">
        <f t="shared" ca="1" si="10"/>
        <v>20</v>
      </c>
      <c r="I33">
        <f t="shared" ca="1" si="10"/>
        <v>19</v>
      </c>
      <c r="J33">
        <f t="shared" ca="1" si="10"/>
        <v>20</v>
      </c>
      <c r="K33">
        <f t="shared" ca="1" si="10"/>
        <v>25</v>
      </c>
      <c r="L33">
        <f t="shared" ca="1" si="10"/>
        <v>26</v>
      </c>
      <c r="N33" s="1">
        <f ca="1">AVERAGE(B33:M33)</f>
        <v>20.454545454545453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16</v>
      </c>
      <c r="H36">
        <f t="shared" ca="1" si="11"/>
        <v>20</v>
      </c>
      <c r="I36">
        <f t="shared" ca="1" si="11"/>
        <v>19</v>
      </c>
      <c r="J36">
        <f t="shared" ca="1" si="11"/>
        <v>20</v>
      </c>
      <c r="K36">
        <f t="shared" ca="1" si="11"/>
        <v>25</v>
      </c>
      <c r="L36">
        <f t="shared" ca="1" si="11"/>
        <v>26</v>
      </c>
      <c r="N36" s="1">
        <f ca="1">AVERAGE(B36:M36)</f>
        <v>20.454545454545453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21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19</v>
      </c>
      <c r="J39">
        <f t="shared" ca="1" si="12"/>
        <v>20</v>
      </c>
      <c r="K39">
        <f t="shared" ca="1" si="12"/>
        <v>25</v>
      </c>
      <c r="L39">
        <f t="shared" ca="1" si="12"/>
        <v>26</v>
      </c>
      <c r="N39" s="1">
        <f ca="1">AVERAGE(B39:M39)</f>
        <v>20.818181818181817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21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25</v>
      </c>
      <c r="I42">
        <f t="shared" ca="1" si="13"/>
        <v>18</v>
      </c>
      <c r="J42">
        <f t="shared" ca="1" si="13"/>
        <v>20</v>
      </c>
      <c r="K42">
        <f t="shared" ca="1" si="13"/>
        <v>25</v>
      </c>
      <c r="L42">
        <f t="shared" ca="1" si="13"/>
        <v>26</v>
      </c>
      <c r="N42" s="1">
        <f ca="1">AVERAGE(B42:M42)</f>
        <v>21.363636363636363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20.454545454545453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25</v>
      </c>
      <c r="H48">
        <f t="shared" ca="1" si="15"/>
        <v>19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20.636363636363637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25</v>
      </c>
      <c r="H51">
        <f t="shared" ca="1" si="16"/>
        <v>19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20.272727272727273</v>
      </c>
    </row>
    <row r="53" spans="1:14" x14ac:dyDescent="0.3">
      <c r="N53" s="1"/>
    </row>
    <row r="54" spans="1:14" x14ac:dyDescent="0.3">
      <c r="N54" s="1"/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2025-12-07T08:31:54Z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