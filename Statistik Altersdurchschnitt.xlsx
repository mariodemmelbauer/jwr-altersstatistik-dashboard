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c-my.sharepoint.com/personal/mario_demmelbauer_coc-ag_de/Documents/JWR/Analysen/2526/"/>
    </mc:Choice>
  </mc:AlternateContent>
  <xr:revisionPtr revIDLastSave="6952" documentId="8_{B13851A0-BF92-44E0-9E4C-BF4EA78055B0}" xr6:coauthVersionLast="47" xr6:coauthVersionMax="47" xr10:uidLastSave="{4D8A3306-9951-43F9-8623-F88F47F5CE86}"/>
  <bookViews>
    <workbookView xWindow="57480" yWindow="-120" windowWidth="29040" windowHeight="15720" tabRatio="747" xr2:uid="{71B9BB1E-DBD4-4A3F-B11E-2D74833D57ED}"/>
  </bookViews>
  <sheets>
    <sheet name="Gesamtübersicht" sheetId="6" r:id="rId1"/>
    <sheet name="Alter pro Spieltag" sheetId="11" r:id="rId2"/>
    <sheet name="JWR" sheetId="1" r:id="rId3"/>
    <sheet name="LASK" sheetId="2" r:id="rId4"/>
    <sheet name="Altach Juniors" sheetId="5" r:id="rId5"/>
    <sheet name="Young Violets" sheetId="4" r:id="rId6"/>
    <sheet name="WAC" sheetId="3" r:id="rId7"/>
    <sheet name="Rapid" sheetId="9" r:id="rId8"/>
    <sheet name="Liefering" sheetId="7" r:id="rId9"/>
    <sheet name="Sturm" sheetId="8" r:id="rId10"/>
  </sheets>
  <definedNames>
    <definedName name="_xlnm._FilterDatabase" localSheetId="0" hidden="1">Gesamtübersicht!$A$1:$B$1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7" i="7" l="1"/>
  <c r="K87" i="7"/>
  <c r="J87" i="7"/>
  <c r="I87" i="7"/>
  <c r="H87" i="7"/>
  <c r="G87" i="7"/>
  <c r="F87" i="7"/>
  <c r="E87" i="7"/>
  <c r="D87" i="7"/>
  <c r="C87" i="7"/>
  <c r="B87" i="7"/>
  <c r="L90" i="8"/>
  <c r="K90" i="8"/>
  <c r="J90" i="8"/>
  <c r="I90" i="8"/>
  <c r="H90" i="8"/>
  <c r="G90" i="8"/>
  <c r="F90" i="8"/>
  <c r="E90" i="8"/>
  <c r="D90" i="8"/>
  <c r="C90" i="8"/>
  <c r="B90" i="8"/>
  <c r="L87" i="9"/>
  <c r="K87" i="9"/>
  <c r="J87" i="9"/>
  <c r="I87" i="9"/>
  <c r="H87" i="9"/>
  <c r="G87" i="9"/>
  <c r="F87" i="9"/>
  <c r="E87" i="9"/>
  <c r="D87" i="9"/>
  <c r="C87" i="9"/>
  <c r="B87" i="9"/>
  <c r="L87" i="4"/>
  <c r="K87" i="4"/>
  <c r="J87" i="4"/>
  <c r="I87" i="4"/>
  <c r="H87" i="4"/>
  <c r="G87" i="4"/>
  <c r="F87" i="4"/>
  <c r="E87" i="4"/>
  <c r="D87" i="4"/>
  <c r="C87" i="4"/>
  <c r="B87" i="4"/>
  <c r="L75" i="5"/>
  <c r="K75" i="5"/>
  <c r="J75" i="5"/>
  <c r="I75" i="5"/>
  <c r="H75" i="5"/>
  <c r="G75" i="5"/>
  <c r="F75" i="5"/>
  <c r="E75" i="5"/>
  <c r="D75" i="5"/>
  <c r="C75" i="5"/>
  <c r="B75" i="5"/>
  <c r="L78" i="3"/>
  <c r="K78" i="3"/>
  <c r="J78" i="3"/>
  <c r="I78" i="3"/>
  <c r="H78" i="3"/>
  <c r="G78" i="3"/>
  <c r="F78" i="3"/>
  <c r="E78" i="3"/>
  <c r="D78" i="3"/>
  <c r="C78" i="3"/>
  <c r="B78" i="3"/>
  <c r="L81" i="2"/>
  <c r="K81" i="2"/>
  <c r="J81" i="2"/>
  <c r="I81" i="2"/>
  <c r="H81" i="2"/>
  <c r="G81" i="2"/>
  <c r="F81" i="2"/>
  <c r="E81" i="2"/>
  <c r="D81" i="2"/>
  <c r="C81" i="2"/>
  <c r="B81" i="2"/>
  <c r="L81" i="1"/>
  <c r="K81" i="1"/>
  <c r="J81" i="1"/>
  <c r="I81" i="1"/>
  <c r="H81" i="1"/>
  <c r="G81" i="1"/>
  <c r="F81" i="1"/>
  <c r="E81" i="1"/>
  <c r="D81" i="1"/>
  <c r="C81" i="1"/>
  <c r="B81" i="1"/>
  <c r="L84" i="9"/>
  <c r="K84" i="9"/>
  <c r="J84" i="9"/>
  <c r="I84" i="9"/>
  <c r="H84" i="9"/>
  <c r="G84" i="9"/>
  <c r="F84" i="9"/>
  <c r="E84" i="9"/>
  <c r="D84" i="9"/>
  <c r="C84" i="9"/>
  <c r="B84" i="9"/>
  <c r="L84" i="4"/>
  <c r="K84" i="4"/>
  <c r="J84" i="4"/>
  <c r="I84" i="4"/>
  <c r="H84" i="4"/>
  <c r="G84" i="4"/>
  <c r="F84" i="4"/>
  <c r="E84" i="4"/>
  <c r="D84" i="4"/>
  <c r="C84" i="4"/>
  <c r="B84" i="4"/>
  <c r="L87" i="8"/>
  <c r="K87" i="8"/>
  <c r="J87" i="8"/>
  <c r="I87" i="8"/>
  <c r="H87" i="8"/>
  <c r="G87" i="8"/>
  <c r="F87" i="8"/>
  <c r="E87" i="8"/>
  <c r="D87" i="8"/>
  <c r="C87" i="8"/>
  <c r="B87" i="8"/>
  <c r="L84" i="7"/>
  <c r="K84" i="7"/>
  <c r="J84" i="7"/>
  <c r="I84" i="7"/>
  <c r="H84" i="7"/>
  <c r="G84" i="7"/>
  <c r="F84" i="7"/>
  <c r="E84" i="7"/>
  <c r="D84" i="7"/>
  <c r="C84" i="7"/>
  <c r="B84" i="7"/>
  <c r="L72" i="5"/>
  <c r="K72" i="5"/>
  <c r="J72" i="5"/>
  <c r="I72" i="5"/>
  <c r="H72" i="5"/>
  <c r="G72" i="5"/>
  <c r="F72" i="5"/>
  <c r="E72" i="5"/>
  <c r="D72" i="5"/>
  <c r="C72" i="5"/>
  <c r="B72" i="5"/>
  <c r="L75" i="3"/>
  <c r="K75" i="3"/>
  <c r="J75" i="3"/>
  <c r="I75" i="3"/>
  <c r="H75" i="3"/>
  <c r="G75" i="3"/>
  <c r="F75" i="3"/>
  <c r="E75" i="3"/>
  <c r="D75" i="3"/>
  <c r="C75" i="3"/>
  <c r="B75" i="3"/>
  <c r="L78" i="2"/>
  <c r="K78" i="2"/>
  <c r="J78" i="2"/>
  <c r="I78" i="2"/>
  <c r="H78" i="2"/>
  <c r="G78" i="2"/>
  <c r="F78" i="2"/>
  <c r="E78" i="2"/>
  <c r="D78" i="2"/>
  <c r="C78" i="2"/>
  <c r="B78" i="2"/>
  <c r="L78" i="1"/>
  <c r="K78" i="1"/>
  <c r="J78" i="1"/>
  <c r="I78" i="1"/>
  <c r="H78" i="1"/>
  <c r="G78" i="1"/>
  <c r="F78" i="1"/>
  <c r="E78" i="1"/>
  <c r="D78" i="1"/>
  <c r="C78" i="1"/>
  <c r="B78" i="1"/>
  <c r="L81" i="9"/>
  <c r="K81" i="9"/>
  <c r="J81" i="9"/>
  <c r="I81" i="9"/>
  <c r="H81" i="9"/>
  <c r="G81" i="9"/>
  <c r="F81" i="9"/>
  <c r="E81" i="9"/>
  <c r="D81" i="9"/>
  <c r="C81" i="9"/>
  <c r="B81" i="9"/>
  <c r="L84" i="8"/>
  <c r="K84" i="8"/>
  <c r="J84" i="8"/>
  <c r="I84" i="8"/>
  <c r="H84" i="8"/>
  <c r="G84" i="8"/>
  <c r="F84" i="8"/>
  <c r="E84" i="8"/>
  <c r="D84" i="8"/>
  <c r="C84" i="8"/>
  <c r="B84" i="8"/>
  <c r="L81" i="7"/>
  <c r="K81" i="7"/>
  <c r="J81" i="7"/>
  <c r="I81" i="7"/>
  <c r="H81" i="7"/>
  <c r="G81" i="7"/>
  <c r="F81" i="7"/>
  <c r="E81" i="7"/>
  <c r="D81" i="7"/>
  <c r="C81" i="7"/>
  <c r="B81" i="7"/>
  <c r="L81" i="4"/>
  <c r="K81" i="4"/>
  <c r="J81" i="4"/>
  <c r="I81" i="4"/>
  <c r="H81" i="4"/>
  <c r="G81" i="4"/>
  <c r="F81" i="4"/>
  <c r="E81" i="4"/>
  <c r="D81" i="4"/>
  <c r="C81" i="4"/>
  <c r="B81" i="4"/>
  <c r="L72" i="3"/>
  <c r="K72" i="3"/>
  <c r="J72" i="3"/>
  <c r="I72" i="3"/>
  <c r="H72" i="3"/>
  <c r="G72" i="3"/>
  <c r="F72" i="3"/>
  <c r="E72" i="3"/>
  <c r="D72" i="3"/>
  <c r="C72" i="3"/>
  <c r="B72" i="3"/>
  <c r="L75" i="2"/>
  <c r="K75" i="2"/>
  <c r="J75" i="2"/>
  <c r="I75" i="2"/>
  <c r="H75" i="2"/>
  <c r="G75" i="2"/>
  <c r="F75" i="2"/>
  <c r="E75" i="2"/>
  <c r="D75" i="2"/>
  <c r="C75" i="2"/>
  <c r="B75" i="2"/>
  <c r="L75" i="1"/>
  <c r="K75" i="1"/>
  <c r="J75" i="1"/>
  <c r="I75" i="1"/>
  <c r="H75" i="1"/>
  <c r="G75" i="1"/>
  <c r="F75" i="1"/>
  <c r="E75" i="1"/>
  <c r="D75" i="1"/>
  <c r="C75" i="1"/>
  <c r="B75" i="1"/>
  <c r="L81" i="8"/>
  <c r="K81" i="8"/>
  <c r="J81" i="8"/>
  <c r="I81" i="8"/>
  <c r="H81" i="8"/>
  <c r="G81" i="8"/>
  <c r="F81" i="8"/>
  <c r="E81" i="8"/>
  <c r="D81" i="8"/>
  <c r="C81" i="8"/>
  <c r="B81" i="8"/>
  <c r="L69" i="5"/>
  <c r="K69" i="5"/>
  <c r="J69" i="5"/>
  <c r="I69" i="5"/>
  <c r="H69" i="5"/>
  <c r="G69" i="5"/>
  <c r="F69" i="5"/>
  <c r="E69" i="5"/>
  <c r="D69" i="5"/>
  <c r="C69" i="5"/>
  <c r="B69" i="5"/>
  <c r="L72" i="1"/>
  <c r="K72" i="1"/>
  <c r="J72" i="1"/>
  <c r="I72" i="1"/>
  <c r="H72" i="1"/>
  <c r="G72" i="1"/>
  <c r="F72" i="1"/>
  <c r="E72" i="1"/>
  <c r="D72" i="1"/>
  <c r="C72" i="1"/>
  <c r="B72" i="1"/>
  <c r="L72" i="2"/>
  <c r="K72" i="2"/>
  <c r="J72" i="2"/>
  <c r="I72" i="2"/>
  <c r="H72" i="2"/>
  <c r="G72" i="2"/>
  <c r="F72" i="2"/>
  <c r="E72" i="2"/>
  <c r="D72" i="2"/>
  <c r="C72" i="2"/>
  <c r="B72" i="2"/>
  <c r="L78" i="4"/>
  <c r="K78" i="4"/>
  <c r="J78" i="4"/>
  <c r="I78" i="4"/>
  <c r="H78" i="4"/>
  <c r="G78" i="4"/>
  <c r="F78" i="4"/>
  <c r="E78" i="4"/>
  <c r="D78" i="4"/>
  <c r="C78" i="4"/>
  <c r="B78" i="4"/>
  <c r="L78" i="7"/>
  <c r="K78" i="7"/>
  <c r="J78" i="7"/>
  <c r="I78" i="7"/>
  <c r="H78" i="7"/>
  <c r="G78" i="7"/>
  <c r="F78" i="7"/>
  <c r="E78" i="7"/>
  <c r="D78" i="7"/>
  <c r="C78" i="7"/>
  <c r="B78" i="7"/>
  <c r="L75" i="7"/>
  <c r="K75" i="7"/>
  <c r="J75" i="7"/>
  <c r="I75" i="7"/>
  <c r="H75" i="7"/>
  <c r="G75" i="7"/>
  <c r="F75" i="7"/>
  <c r="E75" i="7"/>
  <c r="D75" i="7"/>
  <c r="C75" i="7"/>
  <c r="B75" i="7"/>
  <c r="L78" i="8"/>
  <c r="K78" i="8"/>
  <c r="J78" i="8"/>
  <c r="I78" i="8"/>
  <c r="H78" i="8"/>
  <c r="G78" i="8"/>
  <c r="F78" i="8"/>
  <c r="E78" i="8"/>
  <c r="D78" i="8"/>
  <c r="C78" i="8"/>
  <c r="B78" i="8"/>
  <c r="L66" i="5"/>
  <c r="K66" i="5"/>
  <c r="J66" i="5"/>
  <c r="I66" i="5"/>
  <c r="H66" i="5"/>
  <c r="G66" i="5"/>
  <c r="F66" i="5"/>
  <c r="E66" i="5"/>
  <c r="D66" i="5"/>
  <c r="C66" i="5"/>
  <c r="B66" i="5"/>
  <c r="B30" i="4"/>
  <c r="C30" i="4"/>
  <c r="D30" i="4"/>
  <c r="E30" i="4"/>
  <c r="F30" i="4"/>
  <c r="G30" i="4"/>
  <c r="H30" i="4"/>
  <c r="I30" i="4"/>
  <c r="J30" i="4"/>
  <c r="K30" i="4"/>
  <c r="L30" i="4"/>
  <c r="L69" i="2"/>
  <c r="K69" i="2"/>
  <c r="J69" i="2"/>
  <c r="I69" i="2"/>
  <c r="H69" i="2"/>
  <c r="G69" i="2"/>
  <c r="F69" i="2"/>
  <c r="E69" i="2"/>
  <c r="D69" i="2"/>
  <c r="C69" i="2"/>
  <c r="B69" i="2"/>
  <c r="L69" i="3"/>
  <c r="K69" i="3"/>
  <c r="J69" i="3"/>
  <c r="I69" i="3"/>
  <c r="H69" i="3"/>
  <c r="G69" i="3"/>
  <c r="F69" i="3"/>
  <c r="E69" i="3"/>
  <c r="D69" i="3"/>
  <c r="C69" i="3"/>
  <c r="B69" i="3"/>
  <c r="L75" i="4"/>
  <c r="K75" i="4"/>
  <c r="J75" i="4"/>
  <c r="I75" i="4"/>
  <c r="H75" i="4"/>
  <c r="G75" i="4"/>
  <c r="F75" i="4"/>
  <c r="E75" i="4"/>
  <c r="D75" i="4"/>
  <c r="C75" i="4"/>
  <c r="B75" i="4"/>
  <c r="L78" i="9"/>
  <c r="K78" i="9"/>
  <c r="J78" i="9"/>
  <c r="I78" i="9"/>
  <c r="H78" i="9"/>
  <c r="G78" i="9"/>
  <c r="F78" i="9"/>
  <c r="E78" i="9"/>
  <c r="D78" i="9"/>
  <c r="C78" i="9"/>
  <c r="B78" i="9"/>
  <c r="L75" i="8"/>
  <c r="K75" i="8"/>
  <c r="J75" i="8"/>
  <c r="I75" i="8"/>
  <c r="H75" i="8"/>
  <c r="G75" i="8"/>
  <c r="F75" i="8"/>
  <c r="E75" i="8"/>
  <c r="D75" i="8"/>
  <c r="C75" i="8"/>
  <c r="B75" i="8"/>
  <c r="L63" i="5"/>
  <c r="K63" i="5"/>
  <c r="J63" i="5"/>
  <c r="I63" i="5"/>
  <c r="H63" i="5"/>
  <c r="G63" i="5"/>
  <c r="F63" i="5"/>
  <c r="E63" i="5"/>
  <c r="D63" i="5"/>
  <c r="C63" i="5"/>
  <c r="B63" i="5"/>
  <c r="L66" i="3"/>
  <c r="K66" i="3"/>
  <c r="J66" i="3"/>
  <c r="I66" i="3"/>
  <c r="H66" i="3"/>
  <c r="G66" i="3"/>
  <c r="F66" i="3"/>
  <c r="E66" i="3"/>
  <c r="D66" i="3"/>
  <c r="C66" i="3"/>
  <c r="B66" i="3"/>
  <c r="L69" i="1"/>
  <c r="K69" i="1"/>
  <c r="J69" i="1"/>
  <c r="I69" i="1"/>
  <c r="H69" i="1"/>
  <c r="G69" i="1"/>
  <c r="F69" i="1"/>
  <c r="E69" i="1"/>
  <c r="D69" i="1"/>
  <c r="C69" i="1"/>
  <c r="B69" i="1"/>
  <c r="L66" i="1"/>
  <c r="K66" i="1"/>
  <c r="J66" i="1"/>
  <c r="I66" i="1"/>
  <c r="H66" i="1"/>
  <c r="G66" i="1"/>
  <c r="F66" i="1"/>
  <c r="E66" i="1"/>
  <c r="D66" i="1"/>
  <c r="C66" i="1"/>
  <c r="B66" i="1"/>
  <c r="L72" i="7"/>
  <c r="K72" i="7"/>
  <c r="J72" i="7"/>
  <c r="I72" i="7"/>
  <c r="H72" i="7"/>
  <c r="G72" i="7"/>
  <c r="F72" i="7"/>
  <c r="E72" i="7"/>
  <c r="D72" i="7"/>
  <c r="C72" i="7"/>
  <c r="B72" i="7"/>
  <c r="L75" i="9"/>
  <c r="K75" i="9"/>
  <c r="J75" i="9"/>
  <c r="I75" i="9"/>
  <c r="H75" i="9"/>
  <c r="G75" i="9"/>
  <c r="F75" i="9"/>
  <c r="E75" i="9"/>
  <c r="D75" i="9"/>
  <c r="C75" i="9"/>
  <c r="B75" i="9"/>
  <c r="L66" i="2"/>
  <c r="K66" i="2"/>
  <c r="J66" i="2"/>
  <c r="I66" i="2"/>
  <c r="H66" i="2"/>
  <c r="G66" i="2"/>
  <c r="F66" i="2"/>
  <c r="E66" i="2"/>
  <c r="D66" i="2"/>
  <c r="C66" i="2"/>
  <c r="B66" i="2"/>
  <c r="L60" i="5"/>
  <c r="K60" i="5"/>
  <c r="J60" i="5"/>
  <c r="I60" i="5"/>
  <c r="H60" i="5"/>
  <c r="G60" i="5"/>
  <c r="F60" i="5"/>
  <c r="E60" i="5"/>
  <c r="D60" i="5"/>
  <c r="C60" i="5"/>
  <c r="B60" i="5"/>
  <c r="L72" i="8"/>
  <c r="K72" i="8"/>
  <c r="J72" i="8"/>
  <c r="I72" i="8"/>
  <c r="H72" i="8"/>
  <c r="G72" i="8"/>
  <c r="F72" i="8"/>
  <c r="E72" i="8"/>
  <c r="D72" i="8"/>
  <c r="C72" i="8"/>
  <c r="B72" i="8"/>
  <c r="L72" i="9"/>
  <c r="K72" i="9"/>
  <c r="J72" i="9"/>
  <c r="I72" i="9"/>
  <c r="H72" i="9"/>
  <c r="G72" i="9"/>
  <c r="F72" i="9"/>
  <c r="E72" i="9"/>
  <c r="D72" i="9"/>
  <c r="C72" i="9"/>
  <c r="B72" i="9"/>
  <c r="L72" i="4"/>
  <c r="K72" i="4"/>
  <c r="J72" i="4"/>
  <c r="I72" i="4"/>
  <c r="H72" i="4"/>
  <c r="G72" i="4"/>
  <c r="F72" i="4"/>
  <c r="E72" i="4"/>
  <c r="D72" i="4"/>
  <c r="C72" i="4"/>
  <c r="B72" i="4"/>
  <c r="L69" i="7"/>
  <c r="K69" i="7"/>
  <c r="J69" i="7"/>
  <c r="I69" i="7"/>
  <c r="H69" i="7"/>
  <c r="G69" i="7"/>
  <c r="F69" i="7"/>
  <c r="E69" i="7"/>
  <c r="D69" i="7"/>
  <c r="C69" i="7"/>
  <c r="B69" i="7"/>
  <c r="L69" i="4"/>
  <c r="K69" i="4"/>
  <c r="J69" i="4"/>
  <c r="I69" i="4"/>
  <c r="H69" i="4"/>
  <c r="G69" i="4"/>
  <c r="F69" i="4"/>
  <c r="E69" i="4"/>
  <c r="D69" i="4"/>
  <c r="C69" i="4"/>
  <c r="B69" i="4"/>
  <c r="L69" i="9"/>
  <c r="K69" i="9"/>
  <c r="J69" i="9"/>
  <c r="I69" i="9"/>
  <c r="H69" i="9"/>
  <c r="G69" i="9"/>
  <c r="F69" i="9"/>
  <c r="E69" i="9"/>
  <c r="D69" i="9"/>
  <c r="C69" i="9"/>
  <c r="B69" i="9"/>
  <c r="L69" i="8"/>
  <c r="K69" i="8"/>
  <c r="J69" i="8"/>
  <c r="I69" i="8"/>
  <c r="H69" i="8"/>
  <c r="G69" i="8"/>
  <c r="F69" i="8"/>
  <c r="E69" i="8"/>
  <c r="D69" i="8"/>
  <c r="C69" i="8"/>
  <c r="B69" i="8"/>
  <c r="L63" i="1"/>
  <c r="K63" i="1"/>
  <c r="J63" i="1"/>
  <c r="I63" i="1"/>
  <c r="H63" i="1"/>
  <c r="G63" i="1"/>
  <c r="F63" i="1"/>
  <c r="E63" i="1"/>
  <c r="D63" i="1"/>
  <c r="C63" i="1"/>
  <c r="B63" i="1"/>
  <c r="L57" i="5"/>
  <c r="K57" i="5"/>
  <c r="J57" i="5"/>
  <c r="I57" i="5"/>
  <c r="H57" i="5"/>
  <c r="G57" i="5"/>
  <c r="F57" i="5"/>
  <c r="E57" i="5"/>
  <c r="D57" i="5"/>
  <c r="C57" i="5"/>
  <c r="B57" i="5"/>
  <c r="L63" i="3"/>
  <c r="K63" i="3"/>
  <c r="J63" i="3"/>
  <c r="I63" i="3"/>
  <c r="H63" i="3"/>
  <c r="G63" i="3"/>
  <c r="F63" i="3"/>
  <c r="E63" i="3"/>
  <c r="D63" i="3"/>
  <c r="C63" i="3"/>
  <c r="B63" i="3"/>
  <c r="L63" i="2"/>
  <c r="K63" i="2"/>
  <c r="J63" i="2"/>
  <c r="I63" i="2"/>
  <c r="H63" i="2"/>
  <c r="G63" i="2"/>
  <c r="F63" i="2"/>
  <c r="E63" i="2"/>
  <c r="D63" i="2"/>
  <c r="C63" i="2"/>
  <c r="B63" i="2"/>
  <c r="L60" i="3"/>
  <c r="K60" i="3"/>
  <c r="J60" i="3"/>
  <c r="I60" i="3"/>
  <c r="H60" i="3"/>
  <c r="G60" i="3"/>
  <c r="F60" i="3"/>
  <c r="E60" i="3"/>
  <c r="D60" i="3"/>
  <c r="C60" i="3"/>
  <c r="B60" i="3"/>
  <c r="L60" i="1"/>
  <c r="K60" i="1"/>
  <c r="J60" i="1"/>
  <c r="I60" i="1"/>
  <c r="H60" i="1"/>
  <c r="G60" i="1"/>
  <c r="F60" i="1"/>
  <c r="E60" i="1"/>
  <c r="D60" i="1"/>
  <c r="C60" i="1"/>
  <c r="B60" i="1"/>
  <c r="L60" i="2"/>
  <c r="K60" i="2"/>
  <c r="J60" i="2"/>
  <c r="I60" i="2"/>
  <c r="H60" i="2"/>
  <c r="G60" i="2"/>
  <c r="F60" i="2"/>
  <c r="E60" i="2"/>
  <c r="D60" i="2"/>
  <c r="C60" i="2"/>
  <c r="B60" i="2"/>
  <c r="L66" i="8"/>
  <c r="K66" i="8"/>
  <c r="J66" i="8"/>
  <c r="I66" i="8"/>
  <c r="H66" i="8"/>
  <c r="G66" i="8"/>
  <c r="F66" i="8"/>
  <c r="E66" i="8"/>
  <c r="D66" i="8"/>
  <c r="C66" i="8"/>
  <c r="B66" i="8"/>
  <c r="L66" i="4"/>
  <c r="K66" i="4"/>
  <c r="J66" i="4"/>
  <c r="I66" i="4"/>
  <c r="H66" i="4"/>
  <c r="G66" i="4"/>
  <c r="F66" i="4"/>
  <c r="E66" i="4"/>
  <c r="D66" i="4"/>
  <c r="C66" i="4"/>
  <c r="B66" i="4"/>
  <c r="L54" i="5"/>
  <c r="K54" i="5"/>
  <c r="J54" i="5"/>
  <c r="I54" i="5"/>
  <c r="H54" i="5"/>
  <c r="G54" i="5"/>
  <c r="F54" i="5"/>
  <c r="E54" i="5"/>
  <c r="D54" i="5"/>
  <c r="C54" i="5"/>
  <c r="B54" i="5"/>
  <c r="L66" i="9"/>
  <c r="K66" i="9"/>
  <c r="J66" i="9"/>
  <c r="I66" i="9"/>
  <c r="H66" i="9"/>
  <c r="G66" i="9"/>
  <c r="F66" i="9"/>
  <c r="E66" i="9"/>
  <c r="D66" i="9"/>
  <c r="C66" i="9"/>
  <c r="B66" i="9"/>
  <c r="L66" i="7"/>
  <c r="K66" i="7"/>
  <c r="J66" i="7"/>
  <c r="I66" i="7"/>
  <c r="H66" i="7"/>
  <c r="G66" i="7"/>
  <c r="F66" i="7"/>
  <c r="E66" i="7"/>
  <c r="D66" i="7"/>
  <c r="C66" i="7"/>
  <c r="B66" i="7"/>
  <c r="L57" i="1"/>
  <c r="K57" i="1"/>
  <c r="J57" i="1"/>
  <c r="I57" i="1"/>
  <c r="H57" i="1"/>
  <c r="G57" i="1"/>
  <c r="F57" i="1"/>
  <c r="E57" i="1"/>
  <c r="D57" i="1"/>
  <c r="C57" i="1"/>
  <c r="B57" i="1"/>
  <c r="L57" i="2"/>
  <c r="K57" i="2"/>
  <c r="J57" i="2"/>
  <c r="I57" i="2"/>
  <c r="H57" i="2"/>
  <c r="G57" i="2"/>
  <c r="F57" i="2"/>
  <c r="E57" i="2"/>
  <c r="D57" i="2"/>
  <c r="C57" i="2"/>
  <c r="B57" i="2"/>
  <c r="L54" i="2"/>
  <c r="K54" i="2"/>
  <c r="J54" i="2"/>
  <c r="I54" i="2"/>
  <c r="H54" i="2"/>
  <c r="G54" i="2"/>
  <c r="F54" i="2"/>
  <c r="E54" i="2"/>
  <c r="D54" i="2"/>
  <c r="C54" i="2"/>
  <c r="B54" i="2"/>
  <c r="L57" i="3"/>
  <c r="K57" i="3"/>
  <c r="J57" i="3"/>
  <c r="I57" i="3"/>
  <c r="H57" i="3"/>
  <c r="G57" i="3"/>
  <c r="F57" i="3"/>
  <c r="E57" i="3"/>
  <c r="D57" i="3"/>
  <c r="C57" i="3"/>
  <c r="B57" i="3"/>
  <c r="L54" i="3"/>
  <c r="K54" i="3"/>
  <c r="J54" i="3"/>
  <c r="I54" i="3"/>
  <c r="H54" i="3"/>
  <c r="G54" i="3"/>
  <c r="F54" i="3"/>
  <c r="E54" i="3"/>
  <c r="D54" i="3"/>
  <c r="C54" i="3"/>
  <c r="B54" i="3"/>
  <c r="L51" i="5"/>
  <c r="K51" i="5"/>
  <c r="J51" i="5"/>
  <c r="I51" i="5"/>
  <c r="H51" i="5"/>
  <c r="G51" i="5"/>
  <c r="F51" i="5"/>
  <c r="E51" i="5"/>
  <c r="D51" i="5"/>
  <c r="C51" i="5"/>
  <c r="B51" i="5"/>
  <c r="L63" i="4"/>
  <c r="K63" i="4"/>
  <c r="J63" i="4"/>
  <c r="I63" i="4"/>
  <c r="H63" i="4"/>
  <c r="G63" i="4"/>
  <c r="F63" i="4"/>
  <c r="E63" i="4"/>
  <c r="D63" i="4"/>
  <c r="C63" i="4"/>
  <c r="B63" i="4"/>
  <c r="L54" i="1"/>
  <c r="K54" i="1"/>
  <c r="J54" i="1"/>
  <c r="I54" i="1"/>
  <c r="H54" i="1"/>
  <c r="G54" i="1"/>
  <c r="F54" i="1"/>
  <c r="E54" i="1"/>
  <c r="D54" i="1"/>
  <c r="C54" i="1"/>
  <c r="B54" i="1"/>
  <c r="L51" i="2"/>
  <c r="K51" i="2"/>
  <c r="J51" i="2"/>
  <c r="I51" i="2"/>
  <c r="H51" i="2"/>
  <c r="G51" i="2"/>
  <c r="F51" i="2"/>
  <c r="E51" i="2"/>
  <c r="D51" i="2"/>
  <c r="C51" i="2"/>
  <c r="B51" i="2"/>
  <c r="L63" i="8"/>
  <c r="K63" i="8"/>
  <c r="J63" i="8"/>
  <c r="I63" i="8"/>
  <c r="H63" i="8"/>
  <c r="G63" i="8"/>
  <c r="F63" i="8"/>
  <c r="E63" i="8"/>
  <c r="D63" i="8"/>
  <c r="C63" i="8"/>
  <c r="B63" i="8"/>
  <c r="L63" i="7"/>
  <c r="K63" i="7"/>
  <c r="J63" i="7"/>
  <c r="I63" i="7"/>
  <c r="H63" i="7"/>
  <c r="G63" i="7"/>
  <c r="F63" i="7"/>
  <c r="E63" i="7"/>
  <c r="D63" i="7"/>
  <c r="C63" i="7"/>
  <c r="B63" i="7"/>
  <c r="L63" i="9"/>
  <c r="K63" i="9"/>
  <c r="J63" i="9"/>
  <c r="I63" i="9"/>
  <c r="H63" i="9"/>
  <c r="G63" i="9"/>
  <c r="F63" i="9"/>
  <c r="E63" i="9"/>
  <c r="D63" i="9"/>
  <c r="C63" i="9"/>
  <c r="B63" i="9"/>
  <c r="L60" i="7"/>
  <c r="K60" i="7"/>
  <c r="J60" i="7"/>
  <c r="I60" i="7"/>
  <c r="H60" i="7"/>
  <c r="G60" i="7"/>
  <c r="F60" i="7"/>
  <c r="E60" i="7"/>
  <c r="D60" i="7"/>
  <c r="C60" i="7"/>
  <c r="B60" i="7"/>
  <c r="L60" i="8"/>
  <c r="K60" i="8"/>
  <c r="J60" i="8"/>
  <c r="I60" i="8"/>
  <c r="H60" i="8"/>
  <c r="G60" i="8"/>
  <c r="F60" i="8"/>
  <c r="E60" i="8"/>
  <c r="D60" i="8"/>
  <c r="C60" i="8"/>
  <c r="B60" i="8"/>
  <c r="L51" i="3"/>
  <c r="K51" i="3"/>
  <c r="J51" i="3"/>
  <c r="I51" i="3"/>
  <c r="H51" i="3"/>
  <c r="G51" i="3"/>
  <c r="F51" i="3"/>
  <c r="E51" i="3"/>
  <c r="D51" i="3"/>
  <c r="C51" i="3"/>
  <c r="B51" i="3"/>
  <c r="L60" i="4"/>
  <c r="K60" i="4"/>
  <c r="J60" i="4"/>
  <c r="I60" i="4"/>
  <c r="H60" i="4"/>
  <c r="G60" i="4"/>
  <c r="F60" i="4"/>
  <c r="E60" i="4"/>
  <c r="D60" i="4"/>
  <c r="C60" i="4"/>
  <c r="B60" i="4"/>
  <c r="L60" i="9"/>
  <c r="K60" i="9"/>
  <c r="J60" i="9"/>
  <c r="I60" i="9"/>
  <c r="H60" i="9"/>
  <c r="G60" i="9"/>
  <c r="F60" i="9"/>
  <c r="E60" i="9"/>
  <c r="D60" i="9"/>
  <c r="C60" i="9"/>
  <c r="B60" i="9"/>
  <c r="L57" i="7"/>
  <c r="K57" i="7"/>
  <c r="J57" i="7"/>
  <c r="I57" i="7"/>
  <c r="H57" i="7"/>
  <c r="G57" i="7"/>
  <c r="F57" i="7"/>
  <c r="E57" i="7"/>
  <c r="D57" i="7"/>
  <c r="C57" i="7"/>
  <c r="B57" i="7"/>
  <c r="L57" i="8"/>
  <c r="K57" i="8"/>
  <c r="J57" i="8"/>
  <c r="I57" i="8"/>
  <c r="H57" i="8"/>
  <c r="G57" i="8"/>
  <c r="F57" i="8"/>
  <c r="E57" i="8"/>
  <c r="D57" i="8"/>
  <c r="C57" i="8"/>
  <c r="B57" i="8"/>
  <c r="L51" i="1"/>
  <c r="K51" i="1"/>
  <c r="J51" i="1"/>
  <c r="I51" i="1"/>
  <c r="H51" i="1"/>
  <c r="G51" i="1"/>
  <c r="F51" i="1"/>
  <c r="E51" i="1"/>
  <c r="D51" i="1"/>
  <c r="C51" i="1"/>
  <c r="B51" i="1"/>
  <c r="L57" i="9"/>
  <c r="K57" i="9"/>
  <c r="J57" i="9"/>
  <c r="I57" i="9"/>
  <c r="H57" i="9"/>
  <c r="G57" i="9"/>
  <c r="F57" i="9"/>
  <c r="E57" i="9"/>
  <c r="D57" i="9"/>
  <c r="C57" i="9"/>
  <c r="B57" i="9"/>
  <c r="L54" i="8"/>
  <c r="K54" i="8"/>
  <c r="J54" i="8"/>
  <c r="I54" i="8"/>
  <c r="H54" i="8"/>
  <c r="G54" i="8"/>
  <c r="F54" i="8"/>
  <c r="E54" i="8"/>
  <c r="D54" i="8"/>
  <c r="C54" i="8"/>
  <c r="B54" i="8"/>
  <c r="L48" i="3"/>
  <c r="K48" i="3"/>
  <c r="J48" i="3"/>
  <c r="I48" i="3"/>
  <c r="H48" i="3"/>
  <c r="G48" i="3"/>
  <c r="F48" i="3"/>
  <c r="E48" i="3"/>
  <c r="D48" i="3"/>
  <c r="C48" i="3"/>
  <c r="B48" i="3"/>
  <c r="L54" i="7"/>
  <c r="K54" i="7"/>
  <c r="J54" i="7"/>
  <c r="I54" i="7"/>
  <c r="H54" i="7"/>
  <c r="G54" i="7"/>
  <c r="F54" i="7"/>
  <c r="E54" i="7"/>
  <c r="D54" i="7"/>
  <c r="C54" i="7"/>
  <c r="B54" i="7"/>
  <c r="L54" i="9"/>
  <c r="K54" i="9"/>
  <c r="J54" i="9"/>
  <c r="I54" i="9"/>
  <c r="H54" i="9"/>
  <c r="G54" i="9"/>
  <c r="F54" i="9"/>
  <c r="E54" i="9"/>
  <c r="D54" i="9"/>
  <c r="C54" i="9"/>
  <c r="B54" i="9"/>
  <c r="L57" i="4"/>
  <c r="K57" i="4"/>
  <c r="J57" i="4"/>
  <c r="I57" i="4"/>
  <c r="H57" i="4"/>
  <c r="G57" i="4"/>
  <c r="F57" i="4"/>
  <c r="E57" i="4"/>
  <c r="D57" i="4"/>
  <c r="C57" i="4"/>
  <c r="B57" i="4"/>
  <c r="L54" i="4"/>
  <c r="K54" i="4"/>
  <c r="J54" i="4"/>
  <c r="I54" i="4"/>
  <c r="H54" i="4"/>
  <c r="G54" i="4"/>
  <c r="F54" i="4"/>
  <c r="E54" i="4"/>
  <c r="D54" i="4"/>
  <c r="C54" i="4"/>
  <c r="B54" i="4"/>
  <c r="L48" i="2"/>
  <c r="K48" i="2"/>
  <c r="J48" i="2"/>
  <c r="I48" i="2"/>
  <c r="H48" i="2"/>
  <c r="G48" i="2"/>
  <c r="F48" i="2"/>
  <c r="E48" i="2"/>
  <c r="D48" i="2"/>
  <c r="C48" i="2"/>
  <c r="B48" i="2"/>
  <c r="C48" i="1"/>
  <c r="D48" i="1"/>
  <c r="E48" i="1"/>
  <c r="F48" i="1"/>
  <c r="G48" i="1"/>
  <c r="H48" i="1"/>
  <c r="I48" i="1"/>
  <c r="J48" i="1"/>
  <c r="K48" i="1"/>
  <c r="L48" i="1"/>
  <c r="B48" i="1"/>
  <c r="L51" i="4"/>
  <c r="K51" i="4"/>
  <c r="J51" i="4"/>
  <c r="I51" i="4"/>
  <c r="H51" i="4"/>
  <c r="G51" i="4"/>
  <c r="F51" i="4"/>
  <c r="E51" i="4"/>
  <c r="D51" i="4"/>
  <c r="C51" i="4"/>
  <c r="B51" i="4"/>
  <c r="L51" i="9"/>
  <c r="K51" i="9"/>
  <c r="J51" i="9"/>
  <c r="I51" i="9"/>
  <c r="H51" i="9"/>
  <c r="G51" i="9"/>
  <c r="F51" i="9"/>
  <c r="E51" i="9"/>
  <c r="D51" i="9"/>
  <c r="C51" i="9"/>
  <c r="B51" i="9"/>
  <c r="L51" i="7"/>
  <c r="K51" i="7"/>
  <c r="J51" i="7"/>
  <c r="I51" i="7"/>
  <c r="H51" i="7"/>
  <c r="G51" i="7"/>
  <c r="F51" i="7"/>
  <c r="E51" i="7"/>
  <c r="D51" i="7"/>
  <c r="C51" i="7"/>
  <c r="B51" i="7"/>
  <c r="L51" i="8"/>
  <c r="K51" i="8"/>
  <c r="J51" i="8"/>
  <c r="I51" i="8"/>
  <c r="H51" i="8"/>
  <c r="G51" i="8"/>
  <c r="F51" i="8"/>
  <c r="E51" i="8"/>
  <c r="D51" i="8"/>
  <c r="C51" i="8"/>
  <c r="B51" i="8"/>
  <c r="L48" i="7"/>
  <c r="K48" i="7"/>
  <c r="J48" i="7"/>
  <c r="I48" i="7"/>
  <c r="H48" i="7"/>
  <c r="G48" i="7"/>
  <c r="F48" i="7"/>
  <c r="E48" i="7"/>
  <c r="D48" i="7"/>
  <c r="C48" i="7"/>
  <c r="B48" i="7"/>
  <c r="L48" i="4"/>
  <c r="K48" i="4"/>
  <c r="J48" i="4"/>
  <c r="I48" i="4"/>
  <c r="H48" i="4"/>
  <c r="G48" i="4"/>
  <c r="F48" i="4"/>
  <c r="E48" i="4"/>
  <c r="D48" i="4"/>
  <c r="C48" i="4"/>
  <c r="B48" i="4"/>
  <c r="L48" i="9"/>
  <c r="K48" i="9"/>
  <c r="J48" i="9"/>
  <c r="I48" i="9"/>
  <c r="H48" i="9"/>
  <c r="G48" i="9"/>
  <c r="F48" i="9"/>
  <c r="E48" i="9"/>
  <c r="D48" i="9"/>
  <c r="C48" i="9"/>
  <c r="B48" i="9"/>
  <c r="L48" i="8"/>
  <c r="K48" i="8"/>
  <c r="J48" i="8"/>
  <c r="I48" i="8"/>
  <c r="H48" i="8"/>
  <c r="G48" i="8"/>
  <c r="F48" i="8"/>
  <c r="E48" i="8"/>
  <c r="D48" i="8"/>
  <c r="C48" i="8"/>
  <c r="B48" i="8"/>
  <c r="L45" i="9"/>
  <c r="K45" i="9"/>
  <c r="J45" i="9"/>
  <c r="I45" i="9"/>
  <c r="H45" i="9"/>
  <c r="G45" i="9"/>
  <c r="F45" i="9"/>
  <c r="E45" i="9"/>
  <c r="D45" i="9"/>
  <c r="C45" i="9"/>
  <c r="B45" i="9"/>
  <c r="L45" i="4"/>
  <c r="K45" i="4"/>
  <c r="J45" i="4"/>
  <c r="I45" i="4"/>
  <c r="H45" i="4"/>
  <c r="G45" i="4"/>
  <c r="F45" i="4"/>
  <c r="E45" i="4"/>
  <c r="D45" i="4"/>
  <c r="C45" i="4"/>
  <c r="B45" i="4"/>
  <c r="L45" i="7"/>
  <c r="K45" i="7"/>
  <c r="J45" i="7"/>
  <c r="I45" i="7"/>
  <c r="H45" i="7"/>
  <c r="G45" i="7"/>
  <c r="F45" i="7"/>
  <c r="E45" i="7"/>
  <c r="D45" i="7"/>
  <c r="C45" i="7"/>
  <c r="B45" i="7"/>
  <c r="L45" i="8"/>
  <c r="K45" i="8"/>
  <c r="J45" i="8"/>
  <c r="I45" i="8"/>
  <c r="H45" i="8"/>
  <c r="G45" i="8"/>
  <c r="F45" i="8"/>
  <c r="E45" i="8"/>
  <c r="D45" i="8"/>
  <c r="C45" i="8"/>
  <c r="B45" i="8"/>
  <c r="L42" i="4"/>
  <c r="K42" i="4"/>
  <c r="J42" i="4"/>
  <c r="I42" i="4"/>
  <c r="H42" i="4"/>
  <c r="G42" i="4"/>
  <c r="F42" i="4"/>
  <c r="E42" i="4"/>
  <c r="D42" i="4"/>
  <c r="C42" i="4"/>
  <c r="B42" i="4"/>
  <c r="L42" i="7"/>
  <c r="K42" i="7"/>
  <c r="J42" i="7"/>
  <c r="I42" i="7"/>
  <c r="H42" i="7"/>
  <c r="G42" i="7"/>
  <c r="F42" i="7"/>
  <c r="E42" i="7"/>
  <c r="D42" i="7"/>
  <c r="C42" i="7"/>
  <c r="B42" i="7"/>
  <c r="L42" i="9"/>
  <c r="K42" i="9"/>
  <c r="J42" i="9"/>
  <c r="I42" i="9"/>
  <c r="H42" i="9"/>
  <c r="G42" i="9"/>
  <c r="F42" i="9"/>
  <c r="E42" i="9"/>
  <c r="D42" i="9"/>
  <c r="C42" i="9"/>
  <c r="B42" i="9"/>
  <c r="L48" i="5"/>
  <c r="K48" i="5"/>
  <c r="J48" i="5"/>
  <c r="I48" i="5"/>
  <c r="H48" i="5"/>
  <c r="G48" i="5"/>
  <c r="F48" i="5"/>
  <c r="E48" i="5"/>
  <c r="D48" i="5"/>
  <c r="C48" i="5"/>
  <c r="B48" i="5"/>
  <c r="L45" i="3"/>
  <c r="K45" i="3"/>
  <c r="J45" i="3"/>
  <c r="I45" i="3"/>
  <c r="H45" i="3"/>
  <c r="G45" i="3"/>
  <c r="F45" i="3"/>
  <c r="E45" i="3"/>
  <c r="D45" i="3"/>
  <c r="C45" i="3"/>
  <c r="B45" i="3"/>
  <c r="L45" i="2"/>
  <c r="K45" i="2"/>
  <c r="J45" i="2"/>
  <c r="I45" i="2"/>
  <c r="H45" i="2"/>
  <c r="G45" i="2"/>
  <c r="F45" i="2"/>
  <c r="E45" i="2"/>
  <c r="D45" i="2"/>
  <c r="C45" i="2"/>
  <c r="B45" i="2"/>
  <c r="L39" i="4"/>
  <c r="K39" i="4"/>
  <c r="J39" i="4"/>
  <c r="I39" i="4"/>
  <c r="H39" i="4"/>
  <c r="G39" i="4"/>
  <c r="F39" i="4"/>
  <c r="E39" i="4"/>
  <c r="D39" i="4"/>
  <c r="C39" i="4"/>
  <c r="B39" i="4"/>
  <c r="L45" i="5"/>
  <c r="K45" i="5"/>
  <c r="J45" i="5"/>
  <c r="I45" i="5"/>
  <c r="H45" i="5"/>
  <c r="G45" i="5"/>
  <c r="F45" i="5"/>
  <c r="E45" i="5"/>
  <c r="D45" i="5"/>
  <c r="C45" i="5"/>
  <c r="B45" i="5"/>
  <c r="L42" i="8"/>
  <c r="K42" i="8"/>
  <c r="J42" i="8"/>
  <c r="I42" i="8"/>
  <c r="H42" i="8"/>
  <c r="G42" i="8"/>
  <c r="F42" i="8"/>
  <c r="E42" i="8"/>
  <c r="D42" i="8"/>
  <c r="C42" i="8"/>
  <c r="B42" i="8"/>
  <c r="L39" i="9"/>
  <c r="K39" i="9"/>
  <c r="J39" i="9"/>
  <c r="I39" i="9"/>
  <c r="H39" i="9"/>
  <c r="G39" i="9"/>
  <c r="F39" i="9"/>
  <c r="E39" i="9"/>
  <c r="D39" i="9"/>
  <c r="C39" i="9"/>
  <c r="B39" i="9"/>
  <c r="L39" i="7"/>
  <c r="K39" i="7"/>
  <c r="J39" i="7"/>
  <c r="I39" i="7"/>
  <c r="H39" i="7"/>
  <c r="G39" i="7"/>
  <c r="F39" i="7"/>
  <c r="E39" i="7"/>
  <c r="D39" i="7"/>
  <c r="C39" i="7"/>
  <c r="B39" i="7"/>
  <c r="L45" i="1"/>
  <c r="K45" i="1"/>
  <c r="J45" i="1"/>
  <c r="I45" i="1"/>
  <c r="H45" i="1"/>
  <c r="G45" i="1"/>
  <c r="F45" i="1"/>
  <c r="E45" i="1"/>
  <c r="D45" i="1"/>
  <c r="C45" i="1"/>
  <c r="B45" i="1"/>
  <c r="L42" i="5"/>
  <c r="K42" i="5"/>
  <c r="J42" i="5"/>
  <c r="I42" i="5"/>
  <c r="H42" i="5"/>
  <c r="G42" i="5"/>
  <c r="F42" i="5"/>
  <c r="E42" i="5"/>
  <c r="D42" i="5"/>
  <c r="C42" i="5"/>
  <c r="B42" i="5"/>
  <c r="L39" i="8"/>
  <c r="K39" i="8"/>
  <c r="J39" i="8"/>
  <c r="I39" i="8"/>
  <c r="H39" i="8"/>
  <c r="G39" i="8"/>
  <c r="F39" i="8"/>
  <c r="E39" i="8"/>
  <c r="D39" i="8"/>
  <c r="C39" i="8"/>
  <c r="B39" i="8"/>
  <c r="L36" i="8"/>
  <c r="K36" i="8"/>
  <c r="J36" i="8"/>
  <c r="I36" i="8"/>
  <c r="H36" i="8"/>
  <c r="G36" i="8"/>
  <c r="F36" i="8"/>
  <c r="E36" i="8"/>
  <c r="D36" i="8"/>
  <c r="C36" i="8"/>
  <c r="B36" i="8"/>
  <c r="L36" i="7"/>
  <c r="K36" i="7"/>
  <c r="J36" i="7"/>
  <c r="I36" i="7"/>
  <c r="H36" i="7"/>
  <c r="G36" i="7"/>
  <c r="F36" i="7"/>
  <c r="E36" i="7"/>
  <c r="D36" i="7"/>
  <c r="C36" i="7"/>
  <c r="B36" i="7"/>
  <c r="L36" i="4"/>
  <c r="K36" i="4"/>
  <c r="J36" i="4"/>
  <c r="I36" i="4"/>
  <c r="H36" i="4"/>
  <c r="G36" i="4"/>
  <c r="F36" i="4"/>
  <c r="E36" i="4"/>
  <c r="D36" i="4"/>
  <c r="C36" i="4"/>
  <c r="B36" i="4"/>
  <c r="L36" i="9"/>
  <c r="K36" i="9"/>
  <c r="J36" i="9"/>
  <c r="I36" i="9"/>
  <c r="H36" i="9"/>
  <c r="G36" i="9"/>
  <c r="F36" i="9"/>
  <c r="E36" i="9"/>
  <c r="D36" i="9"/>
  <c r="C36" i="9"/>
  <c r="B36" i="9"/>
  <c r="L42" i="3"/>
  <c r="K42" i="3"/>
  <c r="J42" i="3"/>
  <c r="I42" i="3"/>
  <c r="H42" i="3"/>
  <c r="G42" i="3"/>
  <c r="F42" i="3"/>
  <c r="E42" i="3"/>
  <c r="D42" i="3"/>
  <c r="C42" i="3"/>
  <c r="B42" i="3"/>
  <c r="L42" i="2"/>
  <c r="K42" i="2"/>
  <c r="J42" i="2"/>
  <c r="I42" i="2"/>
  <c r="H42" i="2"/>
  <c r="G42" i="2"/>
  <c r="F42" i="2"/>
  <c r="E42" i="2"/>
  <c r="D42" i="2"/>
  <c r="C42" i="2"/>
  <c r="B42" i="2"/>
  <c r="L42" i="1"/>
  <c r="K42" i="1"/>
  <c r="J42" i="1"/>
  <c r="I42" i="1"/>
  <c r="H42" i="1"/>
  <c r="G42" i="1"/>
  <c r="F42" i="1"/>
  <c r="E42" i="1"/>
  <c r="D42" i="1"/>
  <c r="C42" i="1"/>
  <c r="B42" i="1"/>
  <c r="L39" i="2"/>
  <c r="K39" i="2"/>
  <c r="J39" i="2"/>
  <c r="I39" i="2"/>
  <c r="H39" i="2"/>
  <c r="G39" i="2"/>
  <c r="F39" i="2"/>
  <c r="E39" i="2"/>
  <c r="D39" i="2"/>
  <c r="C39" i="2"/>
  <c r="B39" i="2"/>
  <c r="L33" i="9"/>
  <c r="K33" i="9"/>
  <c r="J33" i="9"/>
  <c r="I33" i="9"/>
  <c r="H33" i="9"/>
  <c r="G33" i="9"/>
  <c r="F33" i="9"/>
  <c r="E33" i="9"/>
  <c r="D33" i="9"/>
  <c r="C33" i="9"/>
  <c r="B33" i="9"/>
  <c r="L39" i="3"/>
  <c r="K39" i="3"/>
  <c r="J39" i="3"/>
  <c r="I39" i="3"/>
  <c r="H39" i="3"/>
  <c r="G39" i="3"/>
  <c r="F39" i="3"/>
  <c r="E39" i="3"/>
  <c r="D39" i="3"/>
  <c r="C39" i="3"/>
  <c r="B39" i="3"/>
  <c r="L39" i="5"/>
  <c r="K39" i="5"/>
  <c r="J39" i="5"/>
  <c r="I39" i="5"/>
  <c r="H39" i="5"/>
  <c r="G39" i="5"/>
  <c r="F39" i="5"/>
  <c r="E39" i="5"/>
  <c r="D39" i="5"/>
  <c r="C39" i="5"/>
  <c r="B39" i="5"/>
  <c r="L33" i="4"/>
  <c r="K33" i="4"/>
  <c r="J33" i="4"/>
  <c r="I33" i="4"/>
  <c r="H33" i="4"/>
  <c r="G33" i="4"/>
  <c r="F33" i="4"/>
  <c r="E33" i="4"/>
  <c r="D33" i="4"/>
  <c r="C33" i="4"/>
  <c r="B33" i="4"/>
  <c r="L33" i="7"/>
  <c r="K33" i="7"/>
  <c r="J33" i="7"/>
  <c r="I33" i="7"/>
  <c r="H33" i="7"/>
  <c r="G33" i="7"/>
  <c r="F33" i="7"/>
  <c r="E33" i="7"/>
  <c r="D33" i="7"/>
  <c r="C33" i="7"/>
  <c r="B33" i="7"/>
  <c r="L33" i="8"/>
  <c r="K33" i="8"/>
  <c r="J33" i="8"/>
  <c r="I33" i="8"/>
  <c r="H33" i="8"/>
  <c r="G33" i="8"/>
  <c r="F33" i="8"/>
  <c r="E33" i="8"/>
  <c r="D33" i="8"/>
  <c r="C33" i="8"/>
  <c r="B33" i="8"/>
  <c r="L39" i="1"/>
  <c r="K39" i="1"/>
  <c r="J39" i="1"/>
  <c r="I39" i="1"/>
  <c r="H39" i="1"/>
  <c r="G39" i="1"/>
  <c r="F39" i="1"/>
  <c r="E39" i="1"/>
  <c r="D39" i="1"/>
  <c r="C39" i="1"/>
  <c r="B39" i="1"/>
  <c r="L36" i="2"/>
  <c r="K36" i="2"/>
  <c r="J36" i="2"/>
  <c r="I36" i="2"/>
  <c r="H36" i="2"/>
  <c r="G36" i="2"/>
  <c r="F36" i="2"/>
  <c r="E36" i="2"/>
  <c r="D36" i="2"/>
  <c r="C36" i="2"/>
  <c r="B36" i="2"/>
  <c r="L36" i="3"/>
  <c r="K36" i="3"/>
  <c r="J36" i="3"/>
  <c r="I36" i="3"/>
  <c r="H36" i="3"/>
  <c r="G36" i="3"/>
  <c r="F36" i="3"/>
  <c r="E36" i="3"/>
  <c r="D36" i="3"/>
  <c r="C36" i="3"/>
  <c r="B36" i="3"/>
  <c r="L30" i="9"/>
  <c r="K30" i="9"/>
  <c r="J30" i="9"/>
  <c r="I30" i="9"/>
  <c r="H30" i="9"/>
  <c r="G30" i="9"/>
  <c r="F30" i="9"/>
  <c r="E30" i="9"/>
  <c r="D30" i="9"/>
  <c r="C30" i="9"/>
  <c r="B30" i="9"/>
  <c r="L30" i="8"/>
  <c r="K30" i="8"/>
  <c r="J30" i="8"/>
  <c r="I30" i="8"/>
  <c r="H30" i="8"/>
  <c r="G30" i="8"/>
  <c r="F30" i="8"/>
  <c r="E30" i="8"/>
  <c r="D30" i="8"/>
  <c r="C30" i="8"/>
  <c r="B30" i="8"/>
  <c r="L36" i="1"/>
  <c r="K36" i="1"/>
  <c r="J36" i="1"/>
  <c r="I36" i="1"/>
  <c r="H36" i="1"/>
  <c r="G36" i="1"/>
  <c r="F36" i="1"/>
  <c r="E36" i="1"/>
  <c r="D36" i="1"/>
  <c r="C36" i="1"/>
  <c r="B36" i="1"/>
  <c r="L36" i="5"/>
  <c r="K36" i="5"/>
  <c r="J36" i="5"/>
  <c r="I36" i="5"/>
  <c r="H36" i="5"/>
  <c r="G36" i="5"/>
  <c r="F36" i="5"/>
  <c r="E36" i="5"/>
  <c r="D36" i="5"/>
  <c r="C36" i="5"/>
  <c r="B36" i="5"/>
  <c r="L30" i="7"/>
  <c r="K30" i="7"/>
  <c r="J30" i="7"/>
  <c r="I30" i="7"/>
  <c r="H30" i="7"/>
  <c r="G30" i="7"/>
  <c r="F30" i="7"/>
  <c r="E30" i="7"/>
  <c r="D30" i="7"/>
  <c r="C30" i="7"/>
  <c r="B30" i="7"/>
  <c r="L33" i="2"/>
  <c r="K33" i="2"/>
  <c r="J33" i="2"/>
  <c r="I33" i="2"/>
  <c r="H33" i="2"/>
  <c r="G33" i="2"/>
  <c r="F33" i="2"/>
  <c r="E33" i="2"/>
  <c r="D33" i="2"/>
  <c r="C33" i="2"/>
  <c r="B33" i="2"/>
  <c r="L33" i="5"/>
  <c r="K33" i="5"/>
  <c r="J33" i="5"/>
  <c r="I33" i="5"/>
  <c r="H33" i="5"/>
  <c r="G33" i="5"/>
  <c r="F33" i="5"/>
  <c r="E33" i="5"/>
  <c r="D33" i="5"/>
  <c r="C33" i="5"/>
  <c r="B33" i="5"/>
  <c r="L33" i="3"/>
  <c r="K33" i="3"/>
  <c r="J33" i="3"/>
  <c r="I33" i="3"/>
  <c r="H33" i="3"/>
  <c r="G33" i="3"/>
  <c r="F33" i="3"/>
  <c r="E33" i="3"/>
  <c r="D33" i="3"/>
  <c r="C33" i="3"/>
  <c r="B33" i="3"/>
  <c r="L33" i="1"/>
  <c r="K33" i="1"/>
  <c r="J33" i="1"/>
  <c r="I33" i="1"/>
  <c r="H33" i="1"/>
  <c r="G33" i="1"/>
  <c r="F33" i="1"/>
  <c r="E33" i="1"/>
  <c r="D33" i="1"/>
  <c r="C33" i="1"/>
  <c r="B33" i="1"/>
  <c r="L30" i="3"/>
  <c r="K30" i="3"/>
  <c r="J30" i="3"/>
  <c r="I30" i="3"/>
  <c r="H30" i="3"/>
  <c r="G30" i="3"/>
  <c r="F30" i="3"/>
  <c r="E30" i="3"/>
  <c r="D30" i="3"/>
  <c r="C30" i="3"/>
  <c r="B30" i="3"/>
  <c r="L30" i="2"/>
  <c r="K30" i="2"/>
  <c r="J30" i="2"/>
  <c r="I30" i="2"/>
  <c r="H30" i="2"/>
  <c r="G30" i="2"/>
  <c r="F30" i="2"/>
  <c r="E30" i="2"/>
  <c r="D30" i="2"/>
  <c r="C30" i="2"/>
  <c r="B30" i="2"/>
  <c r="L30" i="1"/>
  <c r="K30" i="1"/>
  <c r="J30" i="1"/>
  <c r="I30" i="1"/>
  <c r="H30" i="1"/>
  <c r="G30" i="1"/>
  <c r="F30" i="1"/>
  <c r="E30" i="1"/>
  <c r="D30" i="1"/>
  <c r="C30" i="1"/>
  <c r="B30" i="1"/>
  <c r="L30" i="5"/>
  <c r="K30" i="5"/>
  <c r="J30" i="5"/>
  <c r="I30" i="5"/>
  <c r="H30" i="5"/>
  <c r="G30" i="5"/>
  <c r="F30" i="5"/>
  <c r="E30" i="5"/>
  <c r="D30" i="5"/>
  <c r="C30" i="5"/>
  <c r="B30" i="5"/>
  <c r="L27" i="9"/>
  <c r="K27" i="9"/>
  <c r="J27" i="9"/>
  <c r="I27" i="9"/>
  <c r="H27" i="9"/>
  <c r="G27" i="9"/>
  <c r="F27" i="9"/>
  <c r="E27" i="9"/>
  <c r="D27" i="9"/>
  <c r="C27" i="9"/>
  <c r="B27" i="9"/>
  <c r="L27" i="8"/>
  <c r="K27" i="8"/>
  <c r="J27" i="8"/>
  <c r="I27" i="8"/>
  <c r="H27" i="8"/>
  <c r="G27" i="8"/>
  <c r="F27" i="8"/>
  <c r="E27" i="8"/>
  <c r="D27" i="8"/>
  <c r="C27" i="8"/>
  <c r="B27" i="8"/>
  <c r="L27" i="4"/>
  <c r="K27" i="4"/>
  <c r="J27" i="4"/>
  <c r="I27" i="4"/>
  <c r="H27" i="4"/>
  <c r="G27" i="4"/>
  <c r="F27" i="4"/>
  <c r="E27" i="4"/>
  <c r="D27" i="4"/>
  <c r="C27" i="4"/>
  <c r="B27" i="4"/>
  <c r="L27" i="7"/>
  <c r="K27" i="7"/>
  <c r="J27" i="7"/>
  <c r="I27" i="7"/>
  <c r="H27" i="7"/>
  <c r="G27" i="7"/>
  <c r="F27" i="7"/>
  <c r="E27" i="7"/>
  <c r="D27" i="7"/>
  <c r="C27" i="7"/>
  <c r="B27" i="7"/>
  <c r="L27" i="2"/>
  <c r="K27" i="2"/>
  <c r="J27" i="2"/>
  <c r="I27" i="2"/>
  <c r="H27" i="2"/>
  <c r="G27" i="2"/>
  <c r="F27" i="2"/>
  <c r="E27" i="2"/>
  <c r="D27" i="2"/>
  <c r="C27" i="2"/>
  <c r="B27" i="2"/>
  <c r="L24" i="2"/>
  <c r="K24" i="2"/>
  <c r="J24" i="2"/>
  <c r="I24" i="2"/>
  <c r="H24" i="2"/>
  <c r="G24" i="2"/>
  <c r="F24" i="2"/>
  <c r="E24" i="2"/>
  <c r="D24" i="2"/>
  <c r="C24" i="2"/>
  <c r="B24" i="2"/>
  <c r="L24" i="4"/>
  <c r="K24" i="4"/>
  <c r="J24" i="4"/>
  <c r="I24" i="4"/>
  <c r="H24" i="4"/>
  <c r="G24" i="4"/>
  <c r="F24" i="4"/>
  <c r="E24" i="4"/>
  <c r="D24" i="4"/>
  <c r="C24" i="4"/>
  <c r="B24" i="4"/>
  <c r="L27" i="5"/>
  <c r="K27" i="5"/>
  <c r="J27" i="5"/>
  <c r="I27" i="5"/>
  <c r="H27" i="5"/>
  <c r="G27" i="5"/>
  <c r="F27" i="5"/>
  <c r="E27" i="5"/>
  <c r="D27" i="5"/>
  <c r="C27" i="5"/>
  <c r="B27" i="5"/>
  <c r="L27" i="1"/>
  <c r="K27" i="1"/>
  <c r="J27" i="1"/>
  <c r="I27" i="1"/>
  <c r="H27" i="1"/>
  <c r="G27" i="1"/>
  <c r="F27" i="1"/>
  <c r="E27" i="1"/>
  <c r="D27" i="1"/>
  <c r="C27" i="1"/>
  <c r="B27" i="1"/>
  <c r="L24" i="8"/>
  <c r="K24" i="8"/>
  <c r="J24" i="8"/>
  <c r="I24" i="8"/>
  <c r="H24" i="8"/>
  <c r="G24" i="8"/>
  <c r="F24" i="8"/>
  <c r="E24" i="8"/>
  <c r="D24" i="8"/>
  <c r="C24" i="8"/>
  <c r="B24" i="8"/>
  <c r="L24" i="7"/>
  <c r="K24" i="7"/>
  <c r="J24" i="7"/>
  <c r="I24" i="7"/>
  <c r="H24" i="7"/>
  <c r="G24" i="7"/>
  <c r="F24" i="7"/>
  <c r="E24" i="7"/>
  <c r="D24" i="7"/>
  <c r="C24" i="7"/>
  <c r="B24" i="7"/>
  <c r="L24" i="9"/>
  <c r="K24" i="9"/>
  <c r="J24" i="9"/>
  <c r="I24" i="9"/>
  <c r="H24" i="9"/>
  <c r="G24" i="9"/>
  <c r="F24" i="9"/>
  <c r="E24" i="9"/>
  <c r="D24" i="9"/>
  <c r="C24" i="9"/>
  <c r="B24" i="9"/>
  <c r="L27" i="3"/>
  <c r="K27" i="3"/>
  <c r="J27" i="3"/>
  <c r="I27" i="3"/>
  <c r="H27" i="3"/>
  <c r="G27" i="3"/>
  <c r="F27" i="3"/>
  <c r="E27" i="3"/>
  <c r="D27" i="3"/>
  <c r="C27" i="3"/>
  <c r="B27" i="3"/>
  <c r="L24" i="5"/>
  <c r="K24" i="5"/>
  <c r="J24" i="5"/>
  <c r="I24" i="5"/>
  <c r="H24" i="5"/>
  <c r="G24" i="5"/>
  <c r="F24" i="5"/>
  <c r="E24" i="5"/>
  <c r="D24" i="5"/>
  <c r="C24" i="5"/>
  <c r="B24" i="5"/>
  <c r="L24" i="3"/>
  <c r="K24" i="3"/>
  <c r="J24" i="3"/>
  <c r="I24" i="3"/>
  <c r="H24" i="3"/>
  <c r="G24" i="3"/>
  <c r="F24" i="3"/>
  <c r="E24" i="3"/>
  <c r="D24" i="3"/>
  <c r="C24" i="3"/>
  <c r="B24" i="3"/>
  <c r="L21" i="8"/>
  <c r="K21" i="8"/>
  <c r="J21" i="8"/>
  <c r="I21" i="8"/>
  <c r="H21" i="8"/>
  <c r="G21" i="8"/>
  <c r="F21" i="8"/>
  <c r="E21" i="8"/>
  <c r="D21" i="8"/>
  <c r="C21" i="8"/>
  <c r="B21" i="8"/>
  <c r="L21" i="4"/>
  <c r="K21" i="4"/>
  <c r="J21" i="4"/>
  <c r="I21" i="4"/>
  <c r="H21" i="4"/>
  <c r="G21" i="4"/>
  <c r="F21" i="4"/>
  <c r="E21" i="4"/>
  <c r="D21" i="4"/>
  <c r="C21" i="4"/>
  <c r="B21" i="4"/>
  <c r="L24" i="1"/>
  <c r="K24" i="1"/>
  <c r="J24" i="1"/>
  <c r="I24" i="1"/>
  <c r="H24" i="1"/>
  <c r="G24" i="1"/>
  <c r="F24" i="1"/>
  <c r="E24" i="1"/>
  <c r="D24" i="1"/>
  <c r="C24" i="1"/>
  <c r="B24" i="1"/>
  <c r="L21" i="9"/>
  <c r="K21" i="9"/>
  <c r="J21" i="9"/>
  <c r="I21" i="9"/>
  <c r="H21" i="9"/>
  <c r="G21" i="9"/>
  <c r="F21" i="9"/>
  <c r="E21" i="9"/>
  <c r="D21" i="9"/>
  <c r="C21" i="9"/>
  <c r="B21" i="9"/>
  <c r="L21" i="7"/>
  <c r="K21" i="7"/>
  <c r="J21" i="7"/>
  <c r="I21" i="7"/>
  <c r="H21" i="7"/>
  <c r="G21" i="7"/>
  <c r="F21" i="7"/>
  <c r="E21" i="7"/>
  <c r="D21" i="7"/>
  <c r="C21" i="7"/>
  <c r="B21" i="7"/>
  <c r="L21" i="5"/>
  <c r="K21" i="5"/>
  <c r="J21" i="5"/>
  <c r="I21" i="5"/>
  <c r="H21" i="5"/>
  <c r="G21" i="5"/>
  <c r="F21" i="5"/>
  <c r="E21" i="5"/>
  <c r="D21" i="5"/>
  <c r="C21" i="5"/>
  <c r="B21" i="5"/>
  <c r="L18" i="5"/>
  <c r="K18" i="5"/>
  <c r="J18" i="5"/>
  <c r="I18" i="5"/>
  <c r="H18" i="5"/>
  <c r="G18" i="5"/>
  <c r="F18" i="5"/>
  <c r="E18" i="5"/>
  <c r="D18" i="5"/>
  <c r="C18" i="5"/>
  <c r="B18" i="5"/>
  <c r="L18" i="4"/>
  <c r="K18" i="4"/>
  <c r="J18" i="4"/>
  <c r="I18" i="4"/>
  <c r="H18" i="4"/>
  <c r="G18" i="4"/>
  <c r="F18" i="4"/>
  <c r="E18" i="4"/>
  <c r="D18" i="4"/>
  <c r="C18" i="4"/>
  <c r="B18" i="4"/>
  <c r="L18" i="7"/>
  <c r="K18" i="7"/>
  <c r="J18" i="7"/>
  <c r="I18" i="7"/>
  <c r="H18" i="7"/>
  <c r="G18" i="7"/>
  <c r="F18" i="7"/>
  <c r="E18" i="7"/>
  <c r="D18" i="7"/>
  <c r="C18" i="7"/>
  <c r="B18" i="7"/>
  <c r="L18" i="9"/>
  <c r="K18" i="9"/>
  <c r="J18" i="9"/>
  <c r="I18" i="9"/>
  <c r="H18" i="9"/>
  <c r="G18" i="9"/>
  <c r="F18" i="9"/>
  <c r="E18" i="9"/>
  <c r="D18" i="9"/>
  <c r="C18" i="9"/>
  <c r="B18" i="9"/>
  <c r="L18" i="8"/>
  <c r="K18" i="8"/>
  <c r="J18" i="8"/>
  <c r="I18" i="8"/>
  <c r="H18" i="8"/>
  <c r="G18" i="8"/>
  <c r="F18" i="8"/>
  <c r="E18" i="8"/>
  <c r="D18" i="8"/>
  <c r="C18" i="8"/>
  <c r="B18" i="8"/>
  <c r="L21" i="2"/>
  <c r="K21" i="2"/>
  <c r="J21" i="2"/>
  <c r="I21" i="2"/>
  <c r="H21" i="2"/>
  <c r="G21" i="2"/>
  <c r="F21" i="2"/>
  <c r="E21" i="2"/>
  <c r="D21" i="2"/>
  <c r="C21" i="2"/>
  <c r="B21" i="2"/>
  <c r="L21" i="3"/>
  <c r="K21" i="3"/>
  <c r="J21" i="3"/>
  <c r="I21" i="3"/>
  <c r="H21" i="3"/>
  <c r="G21" i="3"/>
  <c r="F21" i="3"/>
  <c r="E21" i="3"/>
  <c r="D21" i="3"/>
  <c r="C21" i="3"/>
  <c r="B21" i="3"/>
  <c r="L21" i="1"/>
  <c r="K21" i="1"/>
  <c r="J21" i="1"/>
  <c r="I21" i="1"/>
  <c r="H21" i="1"/>
  <c r="G21" i="1"/>
  <c r="F21" i="1"/>
  <c r="E21" i="1"/>
  <c r="D21" i="1"/>
  <c r="C21" i="1"/>
  <c r="B21" i="1"/>
  <c r="L18" i="3"/>
  <c r="K18" i="3"/>
  <c r="J18" i="3"/>
  <c r="I18" i="3"/>
  <c r="H18" i="3"/>
  <c r="G18" i="3"/>
  <c r="F18" i="3"/>
  <c r="E18" i="3"/>
  <c r="D18" i="3"/>
  <c r="C18" i="3"/>
  <c r="B18" i="3"/>
  <c r="L18" i="2"/>
  <c r="K18" i="2"/>
  <c r="J18" i="2"/>
  <c r="I18" i="2"/>
  <c r="H18" i="2"/>
  <c r="G18" i="2"/>
  <c r="F18" i="2"/>
  <c r="E18" i="2"/>
  <c r="D18" i="2"/>
  <c r="C18" i="2"/>
  <c r="B18" i="2"/>
  <c r="L18" i="1"/>
  <c r="K18" i="1"/>
  <c r="J18" i="1"/>
  <c r="I18" i="1"/>
  <c r="H18" i="1"/>
  <c r="G18" i="1"/>
  <c r="F18" i="1"/>
  <c r="E18" i="1"/>
  <c r="D18" i="1"/>
  <c r="C18" i="1"/>
  <c r="B18" i="1"/>
  <c r="L15" i="7"/>
  <c r="K15" i="7"/>
  <c r="J15" i="7"/>
  <c r="I15" i="7"/>
  <c r="H15" i="7"/>
  <c r="G15" i="7"/>
  <c r="F15" i="7"/>
  <c r="E15" i="7"/>
  <c r="D15" i="7"/>
  <c r="C15" i="7"/>
  <c r="B15" i="7"/>
  <c r="L15" i="1"/>
  <c r="K15" i="1"/>
  <c r="J15" i="1"/>
  <c r="I15" i="1"/>
  <c r="H15" i="1"/>
  <c r="G15" i="1"/>
  <c r="F15" i="1"/>
  <c r="E15" i="1"/>
  <c r="D15" i="1"/>
  <c r="C15" i="1"/>
  <c r="B15" i="1"/>
  <c r="L15" i="5"/>
  <c r="K15" i="5"/>
  <c r="J15" i="5"/>
  <c r="I15" i="5"/>
  <c r="H15" i="5"/>
  <c r="G15" i="5"/>
  <c r="F15" i="5"/>
  <c r="E15" i="5"/>
  <c r="D15" i="5"/>
  <c r="C15" i="5"/>
  <c r="B15" i="5"/>
  <c r="L15" i="8"/>
  <c r="K15" i="8"/>
  <c r="J15" i="8"/>
  <c r="I15" i="8"/>
  <c r="H15" i="8"/>
  <c r="G15" i="8"/>
  <c r="F15" i="8"/>
  <c r="E15" i="8"/>
  <c r="D15" i="8"/>
  <c r="C15" i="8"/>
  <c r="B15" i="8"/>
  <c r="L15" i="9"/>
  <c r="K15" i="9"/>
  <c r="J15" i="9"/>
  <c r="I15" i="9"/>
  <c r="H15" i="9"/>
  <c r="G15" i="9"/>
  <c r="F15" i="9"/>
  <c r="E15" i="9"/>
  <c r="D15" i="9"/>
  <c r="C15" i="9"/>
  <c r="B15" i="9"/>
  <c r="L15" i="4"/>
  <c r="K15" i="4"/>
  <c r="J15" i="4"/>
  <c r="I15" i="4"/>
  <c r="H15" i="4"/>
  <c r="G15" i="4"/>
  <c r="F15" i="4"/>
  <c r="E15" i="4"/>
  <c r="D15" i="4"/>
  <c r="C15" i="4"/>
  <c r="B15" i="4"/>
  <c r="L15" i="3"/>
  <c r="K15" i="3"/>
  <c r="J15" i="3"/>
  <c r="I15" i="3"/>
  <c r="H15" i="3"/>
  <c r="G15" i="3"/>
  <c r="F15" i="3"/>
  <c r="E15" i="3"/>
  <c r="D15" i="3"/>
  <c r="C15" i="3"/>
  <c r="B15" i="3"/>
  <c r="L15" i="2"/>
  <c r="K15" i="2"/>
  <c r="J15" i="2"/>
  <c r="I15" i="2"/>
  <c r="H15" i="2"/>
  <c r="G15" i="2"/>
  <c r="F15" i="2"/>
  <c r="E15" i="2"/>
  <c r="D15" i="2"/>
  <c r="C15" i="2"/>
  <c r="B15" i="2"/>
  <c r="L12" i="8"/>
  <c r="K12" i="8"/>
  <c r="J12" i="8"/>
  <c r="I12" i="8"/>
  <c r="H12" i="8"/>
  <c r="G12" i="8"/>
  <c r="F12" i="8"/>
  <c r="E12" i="8"/>
  <c r="D12" i="8"/>
  <c r="C12" i="8"/>
  <c r="B12" i="8"/>
  <c r="L12" i="9"/>
  <c r="K12" i="9"/>
  <c r="J12" i="9"/>
  <c r="I12" i="9"/>
  <c r="H12" i="9"/>
  <c r="G12" i="9"/>
  <c r="F12" i="9"/>
  <c r="E12" i="9"/>
  <c r="D12" i="9"/>
  <c r="C12" i="9"/>
  <c r="B12" i="9"/>
  <c r="L12" i="4"/>
  <c r="K12" i="4"/>
  <c r="J12" i="4"/>
  <c r="I12" i="4"/>
  <c r="H12" i="4"/>
  <c r="G12" i="4"/>
  <c r="F12" i="4"/>
  <c r="E12" i="4"/>
  <c r="D12" i="4"/>
  <c r="C12" i="4"/>
  <c r="B12" i="4"/>
  <c r="L12" i="5"/>
  <c r="K12" i="5"/>
  <c r="J12" i="5"/>
  <c r="I12" i="5"/>
  <c r="H12" i="5"/>
  <c r="G12" i="5"/>
  <c r="F12" i="5"/>
  <c r="E12" i="5"/>
  <c r="D12" i="5"/>
  <c r="C12" i="5"/>
  <c r="B12" i="5"/>
  <c r="L12" i="3"/>
  <c r="K12" i="3"/>
  <c r="J12" i="3"/>
  <c r="I12" i="3"/>
  <c r="H12" i="3"/>
  <c r="G12" i="3"/>
  <c r="F12" i="3"/>
  <c r="E12" i="3"/>
  <c r="D12" i="3"/>
  <c r="C12" i="3"/>
  <c r="B12" i="3"/>
  <c r="L12" i="7"/>
  <c r="K12" i="7"/>
  <c r="J12" i="7"/>
  <c r="I12" i="7"/>
  <c r="H12" i="7"/>
  <c r="G12" i="7"/>
  <c r="F12" i="7"/>
  <c r="E12" i="7"/>
  <c r="D12" i="7"/>
  <c r="C12" i="7"/>
  <c r="B12" i="7"/>
  <c r="L12" i="2"/>
  <c r="K12" i="2"/>
  <c r="J12" i="2"/>
  <c r="I12" i="2"/>
  <c r="H12" i="2"/>
  <c r="G12" i="2"/>
  <c r="F12" i="2"/>
  <c r="E12" i="2"/>
  <c r="D12" i="2"/>
  <c r="C12" i="2"/>
  <c r="B12" i="2"/>
  <c r="L12" i="1"/>
  <c r="K12" i="1"/>
  <c r="J12" i="1"/>
  <c r="I12" i="1"/>
  <c r="H12" i="1"/>
  <c r="G12" i="1"/>
  <c r="F12" i="1"/>
  <c r="E12" i="1"/>
  <c r="D12" i="1"/>
  <c r="C12" i="1"/>
  <c r="B12" i="1"/>
  <c r="L9" i="3"/>
  <c r="K9" i="3"/>
  <c r="J9" i="3"/>
  <c r="I9" i="3"/>
  <c r="H9" i="3"/>
  <c r="G9" i="3"/>
  <c r="F9" i="3"/>
  <c r="E9" i="3"/>
  <c r="D9" i="3"/>
  <c r="C9" i="3"/>
  <c r="B9" i="3"/>
  <c r="L9" i="9"/>
  <c r="K9" i="9"/>
  <c r="J9" i="9"/>
  <c r="I9" i="9"/>
  <c r="H9" i="9"/>
  <c r="G9" i="9"/>
  <c r="F9" i="9"/>
  <c r="E9" i="9"/>
  <c r="D9" i="9"/>
  <c r="C9" i="9"/>
  <c r="B9" i="9"/>
  <c r="L9" i="1"/>
  <c r="K9" i="1"/>
  <c r="J9" i="1"/>
  <c r="I9" i="1"/>
  <c r="H9" i="1"/>
  <c r="G9" i="1"/>
  <c r="F9" i="1"/>
  <c r="E9" i="1"/>
  <c r="D9" i="1"/>
  <c r="C9" i="1"/>
  <c r="B9" i="1"/>
  <c r="L9" i="5"/>
  <c r="K9" i="5"/>
  <c r="J9" i="5"/>
  <c r="I9" i="5"/>
  <c r="H9" i="5"/>
  <c r="G9" i="5"/>
  <c r="F9" i="5"/>
  <c r="E9" i="5"/>
  <c r="D9" i="5"/>
  <c r="C9" i="5"/>
  <c r="B9" i="5"/>
  <c r="L9" i="4"/>
  <c r="K9" i="4"/>
  <c r="J9" i="4"/>
  <c r="I9" i="4"/>
  <c r="H9" i="4"/>
  <c r="G9" i="4"/>
  <c r="F9" i="4"/>
  <c r="E9" i="4"/>
  <c r="D9" i="4"/>
  <c r="C9" i="4"/>
  <c r="B9" i="4"/>
  <c r="L9" i="2"/>
  <c r="K9" i="2"/>
  <c r="J9" i="2"/>
  <c r="I9" i="2"/>
  <c r="H9" i="2"/>
  <c r="G9" i="2"/>
  <c r="F9" i="2"/>
  <c r="E9" i="2"/>
  <c r="D9" i="2"/>
  <c r="C9" i="2"/>
  <c r="B9" i="2"/>
  <c r="L9" i="8"/>
  <c r="K9" i="8"/>
  <c r="J9" i="8"/>
  <c r="I9" i="8"/>
  <c r="H9" i="8"/>
  <c r="G9" i="8"/>
  <c r="F9" i="8"/>
  <c r="E9" i="8"/>
  <c r="D9" i="8"/>
  <c r="C9" i="8"/>
  <c r="B9" i="8"/>
  <c r="L9" i="7"/>
  <c r="K9" i="7"/>
  <c r="J9" i="7"/>
  <c r="I9" i="7"/>
  <c r="H9" i="7"/>
  <c r="G9" i="7"/>
  <c r="F9" i="7"/>
  <c r="E9" i="7"/>
  <c r="D9" i="7"/>
  <c r="C9" i="7"/>
  <c r="B9" i="7"/>
  <c r="L6" i="5"/>
  <c r="K6" i="5"/>
  <c r="J6" i="5"/>
  <c r="I6" i="5"/>
  <c r="H6" i="5"/>
  <c r="G6" i="5"/>
  <c r="F6" i="5"/>
  <c r="E6" i="5"/>
  <c r="D6" i="5"/>
  <c r="C6" i="5"/>
  <c r="B6" i="5"/>
  <c r="L6" i="8"/>
  <c r="K6" i="8"/>
  <c r="J6" i="8"/>
  <c r="I6" i="8"/>
  <c r="H6" i="8"/>
  <c r="G6" i="8"/>
  <c r="F6" i="8"/>
  <c r="E6" i="8"/>
  <c r="D6" i="8"/>
  <c r="C6" i="8"/>
  <c r="B6" i="8"/>
  <c r="L6" i="7"/>
  <c r="K6" i="7"/>
  <c r="J6" i="7"/>
  <c r="I6" i="7"/>
  <c r="H6" i="7"/>
  <c r="G6" i="7"/>
  <c r="F6" i="7"/>
  <c r="E6" i="7"/>
  <c r="D6" i="7"/>
  <c r="C6" i="7"/>
  <c r="B6" i="7"/>
  <c r="L6" i="9"/>
  <c r="K6" i="9"/>
  <c r="J6" i="9"/>
  <c r="I6" i="9"/>
  <c r="H6" i="9"/>
  <c r="G6" i="9"/>
  <c r="F6" i="9"/>
  <c r="E6" i="9"/>
  <c r="D6" i="9"/>
  <c r="C6" i="9"/>
  <c r="B6" i="9"/>
  <c r="L6" i="3"/>
  <c r="K6" i="3"/>
  <c r="J6" i="3"/>
  <c r="I6" i="3"/>
  <c r="H6" i="3"/>
  <c r="G6" i="3"/>
  <c r="F6" i="3"/>
  <c r="E6" i="3"/>
  <c r="D6" i="3"/>
  <c r="C6" i="3"/>
  <c r="B6" i="3"/>
  <c r="L6" i="4"/>
  <c r="K6" i="4"/>
  <c r="J6" i="4"/>
  <c r="I6" i="4"/>
  <c r="H6" i="4"/>
  <c r="G6" i="4"/>
  <c r="F6" i="4"/>
  <c r="E6" i="4"/>
  <c r="D6" i="4"/>
  <c r="C6" i="4"/>
  <c r="B6" i="4"/>
  <c r="L6" i="1"/>
  <c r="K6" i="1"/>
  <c r="J6" i="1"/>
  <c r="I6" i="1"/>
  <c r="H6" i="1"/>
  <c r="G6" i="1"/>
  <c r="F6" i="1"/>
  <c r="E6" i="1"/>
  <c r="D6" i="1"/>
  <c r="C6" i="1"/>
  <c r="B6" i="1"/>
  <c r="L6" i="2"/>
  <c r="K6" i="2"/>
  <c r="J6" i="2"/>
  <c r="I6" i="2"/>
  <c r="H6" i="2"/>
  <c r="G6" i="2"/>
  <c r="F6" i="2"/>
  <c r="E6" i="2"/>
  <c r="D6" i="2"/>
  <c r="C6" i="2"/>
  <c r="B6" i="2"/>
  <c r="C3" i="8"/>
  <c r="D3" i="8"/>
  <c r="E3" i="8"/>
  <c r="F3" i="8"/>
  <c r="G3" i="8"/>
  <c r="H3" i="8"/>
  <c r="I3" i="8"/>
  <c r="J3" i="8"/>
  <c r="K3" i="8"/>
  <c r="L3" i="8"/>
  <c r="B3" i="8"/>
  <c r="C3" i="7"/>
  <c r="D3" i="7"/>
  <c r="E3" i="7"/>
  <c r="F3" i="7"/>
  <c r="G3" i="7"/>
  <c r="H3" i="7"/>
  <c r="I3" i="7"/>
  <c r="J3" i="7"/>
  <c r="K3" i="7"/>
  <c r="L3" i="7"/>
  <c r="B3" i="7"/>
  <c r="C3" i="9"/>
  <c r="D3" i="9"/>
  <c r="E3" i="9"/>
  <c r="F3" i="9"/>
  <c r="G3" i="9"/>
  <c r="H3" i="9"/>
  <c r="I3" i="9"/>
  <c r="J3" i="9"/>
  <c r="K3" i="9"/>
  <c r="L3" i="9"/>
  <c r="B3" i="9"/>
  <c r="C3" i="3"/>
  <c r="D3" i="3"/>
  <c r="E3" i="3"/>
  <c r="F3" i="3"/>
  <c r="G3" i="3"/>
  <c r="H3" i="3"/>
  <c r="I3" i="3"/>
  <c r="J3" i="3"/>
  <c r="K3" i="3"/>
  <c r="L3" i="3"/>
  <c r="B3" i="3"/>
  <c r="C3" i="4"/>
  <c r="D3" i="4"/>
  <c r="E3" i="4"/>
  <c r="F3" i="4"/>
  <c r="G3" i="4"/>
  <c r="H3" i="4"/>
  <c r="I3" i="4"/>
  <c r="J3" i="4"/>
  <c r="K3" i="4"/>
  <c r="L3" i="4"/>
  <c r="B3" i="4"/>
  <c r="C3" i="5"/>
  <c r="D3" i="5"/>
  <c r="E3" i="5"/>
  <c r="F3" i="5"/>
  <c r="G3" i="5"/>
  <c r="H3" i="5"/>
  <c r="I3" i="5"/>
  <c r="J3" i="5"/>
  <c r="K3" i="5"/>
  <c r="L3" i="5"/>
  <c r="B3" i="5"/>
  <c r="C3" i="2"/>
  <c r="D3" i="2"/>
  <c r="E3" i="2"/>
  <c r="F3" i="2"/>
  <c r="G3" i="2"/>
  <c r="H3" i="2"/>
  <c r="I3" i="2"/>
  <c r="J3" i="2"/>
  <c r="K3" i="2"/>
  <c r="L3" i="2"/>
  <c r="B3" i="2"/>
  <c r="C3" i="1"/>
  <c r="D3" i="1"/>
  <c r="E3" i="1"/>
  <c r="F3" i="1"/>
  <c r="G3" i="1"/>
  <c r="H3" i="1"/>
  <c r="I3" i="1"/>
  <c r="J3" i="1"/>
  <c r="K3" i="1"/>
  <c r="L3" i="1"/>
  <c r="B3" i="1"/>
  <c r="AD4" i="11" a="1"/>
  <c r="AD3" i="11" a="1"/>
  <c r="AC2" i="11" a="1"/>
  <c r="AD6" i="11" a="1"/>
  <c r="AE2" i="11" a="1"/>
  <c r="AE5" i="11" a="1"/>
  <c r="AE6" i="11" a="1"/>
  <c r="AB6" i="11" a="1"/>
  <c r="AB4" i="11" a="1"/>
  <c r="AC3" i="11" a="1"/>
  <c r="AC6" i="11" a="1"/>
  <c r="AE8" i="11" a="1"/>
  <c r="AA4" i="11" a="1"/>
  <c r="AC4" i="11" a="1"/>
  <c r="AE4" i="11" a="1"/>
  <c r="AE3" i="11" a="1"/>
  <c r="AD2" i="11" a="1"/>
  <c r="AE7" i="11" a="1"/>
  <c r="N87" i="7" l="1"/>
  <c r="N90" i="8"/>
  <c r="N87" i="9"/>
  <c r="N87" i="4"/>
  <c r="N75" i="5"/>
  <c r="N78" i="3"/>
  <c r="N81" i="2"/>
  <c r="N81" i="1"/>
  <c r="N84" i="9"/>
  <c r="N84" i="4"/>
  <c r="N87" i="8"/>
  <c r="N84" i="7"/>
  <c r="N72" i="5"/>
  <c r="N75" i="3"/>
  <c r="N78" i="2"/>
  <c r="N78" i="1"/>
  <c r="N81" i="9"/>
  <c r="N84" i="8"/>
  <c r="N81" i="7"/>
  <c r="N81" i="4"/>
  <c r="AE7" i="11"/>
  <c r="AC6" i="11"/>
  <c r="AE4" i="11"/>
  <c r="AC3" i="11"/>
  <c r="AB6" i="11"/>
  <c r="AD4" i="11"/>
  <c r="AE8" i="11"/>
  <c r="AE5" i="11"/>
  <c r="AC4" i="11"/>
  <c r="AE2" i="11"/>
  <c r="AB4" i="11"/>
  <c r="AD2" i="11"/>
  <c r="AE6" i="11"/>
  <c r="AE3" i="11"/>
  <c r="AC2" i="11"/>
  <c r="AD6" i="11"/>
  <c r="AD3" i="11"/>
  <c r="N72" i="3"/>
  <c r="N75" i="2"/>
  <c r="N75" i="1"/>
  <c r="N81" i="8"/>
  <c r="N69" i="5"/>
  <c r="N72" i="1"/>
  <c r="N72" i="2"/>
  <c r="N78" i="4"/>
  <c r="N78" i="7"/>
  <c r="N75" i="7"/>
  <c r="N78" i="8"/>
  <c r="N66" i="5"/>
  <c r="N30" i="4"/>
  <c r="N69" i="2"/>
  <c r="N69" i="3"/>
  <c r="N75" i="4"/>
  <c r="N78" i="9"/>
  <c r="N75" i="8"/>
  <c r="AA4" i="11"/>
  <c r="N63" i="5"/>
  <c r="N66" i="3"/>
  <c r="N69" i="1"/>
  <c r="N66" i="1"/>
  <c r="N72" i="7"/>
  <c r="N75" i="9"/>
  <c r="N66" i="2"/>
  <c r="N60" i="5"/>
  <c r="N72" i="8"/>
  <c r="N72" i="9"/>
  <c r="N72" i="4"/>
  <c r="N69" i="7"/>
  <c r="N69" i="4"/>
  <c r="N69" i="9"/>
  <c r="N69" i="8"/>
  <c r="N63" i="1"/>
  <c r="N57" i="5"/>
  <c r="N63" i="3"/>
  <c r="N63" i="2"/>
  <c r="N60" i="3"/>
  <c r="N60" i="1"/>
  <c r="N60" i="2"/>
  <c r="N66" i="8"/>
  <c r="N66" i="4"/>
  <c r="N54" i="5"/>
  <c r="N66" i="9"/>
  <c r="N66" i="7"/>
  <c r="N57" i="1"/>
  <c r="N57" i="2"/>
  <c r="N54" i="2"/>
  <c r="N57" i="3"/>
  <c r="N54" i="3"/>
  <c r="N51" i="5"/>
  <c r="N63" i="4"/>
  <c r="N54" i="1"/>
  <c r="N51" i="2"/>
  <c r="N63" i="8"/>
  <c r="N63" i="7"/>
  <c r="N63" i="9"/>
  <c r="N60" i="7"/>
  <c r="N60" i="8"/>
  <c r="N51" i="3"/>
  <c r="N60" i="4"/>
  <c r="N60" i="9"/>
  <c r="N57" i="7"/>
  <c r="N57" i="8"/>
  <c r="N51" i="1"/>
  <c r="N57" i="9"/>
  <c r="N54" i="8"/>
  <c r="N48" i="3"/>
  <c r="N54" i="7"/>
  <c r="N54" i="9"/>
  <c r="N57" i="4"/>
  <c r="N54" i="4"/>
  <c r="N48" i="2"/>
  <c r="N48" i="1"/>
  <c r="N51" i="7"/>
  <c r="N48" i="7"/>
  <c r="N51" i="4"/>
  <c r="N51" i="9"/>
  <c r="N51" i="8"/>
  <c r="N48" i="4"/>
  <c r="N48" i="9"/>
  <c r="N48" i="8"/>
  <c r="N45" i="9"/>
  <c r="N45" i="4"/>
  <c r="N45" i="7"/>
  <c r="N45" i="8"/>
  <c r="N42" i="4"/>
  <c r="N42" i="7"/>
  <c r="N42" i="9"/>
  <c r="N48" i="5"/>
  <c r="N45" i="3"/>
  <c r="N45" i="2"/>
  <c r="N39" i="4"/>
  <c r="N45" i="5"/>
  <c r="N42" i="8"/>
  <c r="N39" i="9"/>
  <c r="N39" i="7"/>
  <c r="N45" i="1"/>
  <c r="N42" i="5"/>
  <c r="N39" i="8"/>
  <c r="N36" i="8"/>
  <c r="N36" i="7"/>
  <c r="N36" i="4"/>
  <c r="N36" i="9"/>
  <c r="N42" i="3"/>
  <c r="N42" i="2"/>
  <c r="N42" i="1"/>
  <c r="N39" i="2"/>
  <c r="N33" i="9"/>
  <c r="N39" i="3"/>
  <c r="N39" i="5"/>
  <c r="N33" i="4"/>
  <c r="N33" i="7"/>
  <c r="N33" i="8"/>
  <c r="N39" i="1"/>
  <c r="N36" i="2"/>
  <c r="N36" i="3"/>
  <c r="N30" i="9"/>
  <c r="N30" i="8"/>
  <c r="N36" i="1"/>
  <c r="N36" i="5"/>
  <c r="N30" i="7"/>
  <c r="N33" i="2"/>
  <c r="N33" i="5"/>
  <c r="N33" i="3"/>
  <c r="N33" i="1"/>
  <c r="N30" i="3"/>
  <c r="N30" i="2"/>
  <c r="N30" i="1"/>
  <c r="N30" i="5"/>
  <c r="N27" i="9"/>
  <c r="N27" i="8"/>
  <c r="N27" i="4"/>
  <c r="N27" i="7"/>
  <c r="N27" i="2"/>
  <c r="N24" i="2"/>
  <c r="N24" i="4"/>
  <c r="N27" i="5"/>
  <c r="N27" i="1"/>
  <c r="N24" i="8"/>
  <c r="N24" i="9"/>
  <c r="N24" i="7"/>
  <c r="N27" i="3"/>
  <c r="N24" i="5"/>
  <c r="N24" i="3"/>
  <c r="N21" i="8"/>
  <c r="N21" i="4"/>
  <c r="N24" i="1"/>
  <c r="N21" i="9"/>
  <c r="N21" i="7"/>
  <c r="N21" i="5"/>
  <c r="N18" i="5"/>
  <c r="N18" i="4"/>
  <c r="N18" i="7"/>
  <c r="N18" i="9"/>
  <c r="N18" i="8"/>
  <c r="N21" i="2"/>
  <c r="N21" i="3"/>
  <c r="N21" i="1"/>
  <c r="N18" i="3"/>
  <c r="N18" i="2"/>
  <c r="N18" i="1"/>
  <c r="N6" i="1"/>
  <c r="N12" i="1"/>
  <c r="N9" i="1"/>
  <c r="N3" i="1"/>
  <c r="N15" i="1"/>
  <c r="N15" i="7"/>
  <c r="N15" i="5"/>
  <c r="N15" i="8"/>
  <c r="N15" i="9"/>
  <c r="N15" i="4"/>
  <c r="N15" i="3"/>
  <c r="N15" i="2"/>
  <c r="N12" i="8"/>
  <c r="N12" i="9"/>
  <c r="N12" i="4"/>
  <c r="N12" i="5"/>
  <c r="N12" i="3"/>
  <c r="N12" i="7"/>
  <c r="N12" i="2"/>
  <c r="N9" i="3"/>
  <c r="N9" i="9"/>
  <c r="N9" i="5"/>
  <c r="N9" i="4"/>
  <c r="N9" i="2"/>
  <c r="N9" i="8"/>
  <c r="N9" i="7"/>
  <c r="N6" i="5"/>
  <c r="N6" i="8"/>
  <c r="N6" i="7"/>
  <c r="N6" i="9"/>
  <c r="N6" i="3"/>
  <c r="N6" i="4"/>
  <c r="N6" i="2"/>
  <c r="N3" i="8"/>
  <c r="N3" i="7"/>
  <c r="N3" i="9"/>
  <c r="N3" i="3"/>
  <c r="N3" i="4"/>
  <c r="N3" i="5"/>
  <c r="N3" i="2"/>
  <c r="AD8" i="11" a="1"/>
  <c r="AE9" i="11" a="1"/>
  <c r="AD7" i="11" a="1"/>
  <c r="AD5" i="11" a="1"/>
  <c r="Z4" i="11" a="1"/>
  <c r="AA6" i="11" a="1"/>
  <c r="AB3" i="11" a="1"/>
  <c r="AC7" i="11" a="1"/>
  <c r="B8" i="11" a="1"/>
  <c r="N5" i="11" a="1"/>
  <c r="N9" i="11" a="1"/>
  <c r="N6" i="11" a="1"/>
  <c r="N2" i="11" a="1"/>
  <c r="N4" i="11" a="1"/>
  <c r="AB8" i="11" a="1"/>
  <c r="H7" i="11" a="1"/>
  <c r="I8" i="11" a="1"/>
  <c r="C5" i="11" a="1"/>
  <c r="E2" i="11" a="1"/>
  <c r="X7" i="11" a="1"/>
  <c r="AB5" i="11" a="1"/>
  <c r="I6" i="11" a="1"/>
  <c r="D9" i="11" a="1"/>
  <c r="K3" i="11" a="1"/>
  <c r="Q5" i="11" a="1"/>
  <c r="W6" i="11" a="1"/>
  <c r="G9" i="11" a="1"/>
  <c r="D5" i="11" a="1"/>
  <c r="R9" i="11" a="1"/>
  <c r="K5" i="11" a="1"/>
  <c r="J9" i="11" a="1"/>
  <c r="C9" i="11" a="1"/>
  <c r="R6" i="11" a="1"/>
  <c r="G3" i="11" a="1"/>
  <c r="C3" i="11" a="1"/>
  <c r="AC9" i="11" a="1"/>
  <c r="X2" i="11" a="1"/>
  <c r="U3" i="11" a="1"/>
  <c r="AC8" i="11" a="1"/>
  <c r="B9" i="11" a="1"/>
  <c r="S6" i="11" a="1"/>
  <c r="F3" i="11" a="1"/>
  <c r="AA8" i="11" a="1"/>
  <c r="AA3" i="11" a="1"/>
  <c r="V2" i="11" a="1"/>
  <c r="V8" i="11" a="1"/>
  <c r="W2" i="11" a="1"/>
  <c r="J7" i="11" a="1"/>
  <c r="AB7" i="11" a="1"/>
  <c r="Q7" i="11" a="1"/>
  <c r="V5" i="11" a="1"/>
  <c r="L9" i="11" a="1"/>
  <c r="V3" i="11" a="1"/>
  <c r="Y7" i="11" a="1"/>
  <c r="M3" i="11" a="1"/>
  <c r="Z9" i="11" a="1"/>
  <c r="AA5" i="11" a="1"/>
  <c r="D6" i="11" a="1"/>
  <c r="K6" i="11" a="1"/>
  <c r="R4" i="11" a="1"/>
  <c r="D3" i="11" a="1"/>
  <c r="O8" i="11" a="1"/>
  <c r="F7" i="11" a="1"/>
  <c r="B4" i="11" a="1"/>
  <c r="R2" i="11" a="1"/>
  <c r="R7" i="11" a="1"/>
  <c r="H6" i="11" a="1"/>
  <c r="U7" i="11" a="1"/>
  <c r="C6" i="11" a="1"/>
  <c r="E6" i="11" a="1"/>
  <c r="T9" i="11" a="1"/>
  <c r="R3" i="11" a="1"/>
  <c r="Z7" i="11" a="1"/>
  <c r="J2" i="11" a="1"/>
  <c r="Q2" i="11" a="1"/>
  <c r="F5" i="11" a="1"/>
  <c r="E8" i="11" a="1"/>
  <c r="X6" i="11" a="1"/>
  <c r="C2" i="11" a="1"/>
  <c r="D8" i="11" a="1"/>
  <c r="T8" i="11" a="1"/>
  <c r="O6" i="11" a="1"/>
  <c r="X5" i="11" a="1"/>
  <c r="E7" i="11" a="1"/>
  <c r="AB9" i="11" a="1"/>
  <c r="K8" i="11" a="1"/>
  <c r="M8" i="11" a="1"/>
  <c r="W8" i="11" a="1"/>
  <c r="X3" i="11" a="1"/>
  <c r="G7" i="11" a="1"/>
  <c r="S5" i="11" a="1"/>
  <c r="W7" i="11" a="1"/>
  <c r="S2" i="11" a="1"/>
  <c r="F6" i="11" a="1"/>
  <c r="O5" i="11" a="1"/>
  <c r="G2" i="11" a="1"/>
  <c r="B6" i="11" a="1"/>
  <c r="W5" i="11" a="1"/>
  <c r="Z5" i="11" a="1"/>
  <c r="S8" i="11" a="1"/>
  <c r="X4" i="11" a="1"/>
  <c r="T7" i="11" a="1"/>
  <c r="R5" i="11" a="1"/>
  <c r="Z2" i="11" a="1"/>
  <c r="M2" i="11" a="1"/>
  <c r="B2" i="11" a="1"/>
  <c r="N7" i="11" a="1"/>
  <c r="O3" i="11" a="1"/>
  <c r="O2" i="11" a="1"/>
  <c r="O4" i="11" a="1"/>
  <c r="I3" i="11" a="1"/>
  <c r="W4" i="11" a="1"/>
  <c r="Z6" i="11" a="1"/>
  <c r="G5" i="11" a="1"/>
  <c r="I7" i="11" a="1"/>
  <c r="W3" i="11" a="1"/>
  <c r="J6" i="11" a="1"/>
  <c r="H2" i="11" a="1"/>
  <c r="K4" i="11" a="1"/>
  <c r="P4" i="11" a="1"/>
  <c r="S4" i="11" a="1"/>
  <c r="H4" i="11" a="1"/>
  <c r="N3" i="11" a="1"/>
  <c r="Z3" i="11" a="1"/>
  <c r="P2" i="11" a="1"/>
  <c r="E4" i="11" a="1"/>
  <c r="L4" i="11" a="1"/>
  <c r="T6" i="11" a="1"/>
  <c r="F9" i="11" a="1"/>
  <c r="I2" i="11" a="1"/>
  <c r="M5" i="11" a="1"/>
  <c r="Z8" i="11" a="1"/>
  <c r="I5" i="11" a="1"/>
  <c r="V9" i="11" a="1"/>
  <c r="X8" i="11" a="1"/>
  <c r="N8" i="11" a="1"/>
  <c r="U2" i="11" a="1"/>
  <c r="U9" i="11" a="1"/>
  <c r="K2" i="11" a="1"/>
  <c r="U6" i="11" a="1"/>
  <c r="O9" i="11" a="1"/>
  <c r="AA9" i="11" a="1"/>
  <c r="J5" i="11" a="1"/>
  <c r="E5" i="11" a="1"/>
  <c r="AC5" i="11" a="1"/>
  <c r="P3" i="11" a="1"/>
  <c r="Y6" i="11" a="1"/>
  <c r="I9" i="11" a="1"/>
  <c r="U5" i="11" a="1"/>
  <c r="F2" i="11" a="1"/>
  <c r="F4" i="11" a="1"/>
  <c r="J8" i="11" a="1"/>
  <c r="J3" i="11" a="1"/>
  <c r="X9" i="11" a="1"/>
  <c r="H9" i="11" a="1"/>
  <c r="L6" i="11" a="1"/>
  <c r="W9" i="11" a="1"/>
  <c r="G6" i="11" a="1"/>
  <c r="L2" i="11" a="1"/>
  <c r="G4" i="11" a="1"/>
  <c r="L3" i="11" a="1"/>
  <c r="D4" i="11" a="1"/>
  <c r="Y5" i="11" a="1"/>
  <c r="G8" i="11" a="1"/>
  <c r="C8" i="11" a="1"/>
  <c r="M9" i="11" a="1"/>
  <c r="Y4" i="11" a="1"/>
  <c r="M7" i="11" a="1"/>
  <c r="Y8" i="11" a="1"/>
  <c r="Y2" i="11" a="1"/>
  <c r="V6" i="11" a="1"/>
  <c r="L5" i="11" a="1"/>
  <c r="K9" i="11" a="1"/>
  <c r="U8" i="11" a="1"/>
  <c r="Q9" i="11" a="1"/>
  <c r="Q3" i="11" a="1"/>
  <c r="V4" i="11" a="1"/>
  <c r="L7" i="11" a="1"/>
  <c r="M6" i="11" a="1"/>
  <c r="R8" i="11" a="1"/>
  <c r="H5" i="11" a="1"/>
  <c r="T4" i="11" a="1"/>
  <c r="T5" i="11" a="1"/>
  <c r="B7" i="11" a="1"/>
  <c r="E9" i="11" a="1"/>
  <c r="D7" i="11" a="1"/>
  <c r="Q8" i="11" a="1"/>
  <c r="T3" i="11" a="1"/>
  <c r="Q4" i="11" a="1"/>
  <c r="P7" i="11" a="1"/>
  <c r="V7" i="11" a="1"/>
  <c r="K7" i="11" a="1"/>
  <c r="C7" i="11" a="1"/>
  <c r="I4" i="11" a="1"/>
  <c r="U4" i="11" a="1"/>
  <c r="P5" i="11" a="1"/>
  <c r="Y9" i="11" a="1"/>
  <c r="H3" i="11" a="1"/>
  <c r="P8" i="11" a="1"/>
  <c r="E3" i="11" a="1"/>
  <c r="O7" i="11" a="1"/>
  <c r="AA7" i="11" a="1"/>
  <c r="AD9" i="11" a="1"/>
  <c r="D2" i="11" a="1"/>
  <c r="S3" i="11" a="1"/>
  <c r="Y3" i="11" a="1"/>
  <c r="P6" i="11" a="1"/>
  <c r="H8" i="11" a="1"/>
  <c r="B3" i="11" a="1"/>
  <c r="M4" i="11" a="1"/>
  <c r="T2" i="11" a="1"/>
  <c r="C4" i="11" a="1"/>
  <c r="J4" i="11" a="1"/>
  <c r="S9" i="11" a="1"/>
  <c r="AA2" i="11" a="1"/>
  <c r="P9" i="11" a="1"/>
  <c r="F8" i="11" a="1"/>
  <c r="L8" i="11" a="1"/>
  <c r="AB2" i="11" a="1"/>
  <c r="Q6" i="11" a="1"/>
  <c r="B5" i="11" a="1"/>
  <c r="S7" i="11" a="1"/>
  <c r="AD8" i="11" l="1"/>
  <c r="AE9" i="11"/>
  <c r="AD7" i="11"/>
  <c r="AD5" i="11"/>
  <c r="Z4" i="11"/>
  <c r="AA6" i="11"/>
  <c r="AB3" i="11"/>
  <c r="AB2" i="11"/>
  <c r="AC7" i="11"/>
  <c r="AC5" i="11"/>
  <c r="AD9" i="11"/>
  <c r="AC8" i="11"/>
  <c r="Y4" i="11"/>
  <c r="Z6" i="11"/>
  <c r="AA3" i="11"/>
  <c r="AA2" i="11"/>
  <c r="AB7" i="11"/>
  <c r="AC9" i="11"/>
  <c r="AB8" i="11"/>
  <c r="AB5" i="11"/>
  <c r="AB9" i="11"/>
  <c r="Y6" i="11"/>
  <c r="Z3" i="11"/>
  <c r="Z2" i="11"/>
  <c r="X4" i="11"/>
  <c r="Y2" i="11"/>
  <c r="Y3" i="11"/>
  <c r="AA5" i="11"/>
  <c r="AA8" i="11"/>
  <c r="Z8" i="11"/>
  <c r="AA9" i="11"/>
  <c r="W4" i="11"/>
  <c r="X3" i="11"/>
  <c r="X6" i="11"/>
  <c r="Z5" i="11"/>
  <c r="AA7" i="11"/>
  <c r="Z9" i="11"/>
  <c r="W5" i="11"/>
  <c r="X8" i="11"/>
  <c r="W9" i="11"/>
  <c r="Y5" i="11"/>
  <c r="X5" i="11"/>
  <c r="Y7" i="11"/>
  <c r="W3" i="11"/>
  <c r="Y9" i="11"/>
  <c r="Z7" i="11"/>
  <c r="Y8" i="11"/>
  <c r="W2" i="11"/>
  <c r="W8" i="11"/>
  <c r="X9" i="11"/>
  <c r="X2" i="11"/>
  <c r="W7" i="11"/>
  <c r="X7" i="11"/>
  <c r="W6" i="11"/>
  <c r="V4" i="11"/>
  <c r="U4" i="11"/>
  <c r="V2" i="11"/>
  <c r="T4" i="11"/>
  <c r="V6" i="11"/>
  <c r="V3" i="11"/>
  <c r="U6" i="11"/>
  <c r="U2" i="11"/>
  <c r="U3" i="11"/>
  <c r="S4" i="11"/>
  <c r="T2" i="11"/>
  <c r="T3" i="11"/>
  <c r="S3" i="11"/>
  <c r="T6" i="11"/>
  <c r="S6" i="11"/>
  <c r="R4" i="11"/>
  <c r="V5" i="11"/>
  <c r="S2" i="11"/>
  <c r="R3" i="11"/>
  <c r="V9" i="11"/>
  <c r="V8" i="11"/>
  <c r="V7" i="11"/>
  <c r="U8" i="11"/>
  <c r="U9" i="11"/>
  <c r="R6" i="11"/>
  <c r="U5" i="11"/>
  <c r="U7" i="11"/>
  <c r="T8" i="11"/>
  <c r="T9" i="11"/>
  <c r="R2" i="11"/>
  <c r="T7" i="11"/>
  <c r="S9" i="11"/>
  <c r="Q6" i="11"/>
  <c r="S8" i="11"/>
  <c r="S7" i="11"/>
  <c r="T5" i="11"/>
  <c r="S5" i="11"/>
  <c r="Q3" i="11"/>
  <c r="R7" i="11"/>
  <c r="R5" i="11"/>
  <c r="R8" i="11"/>
  <c r="R9" i="11"/>
  <c r="Q8" i="11"/>
  <c r="Q5" i="11"/>
  <c r="Q7" i="11"/>
  <c r="Q9" i="11"/>
  <c r="P7" i="11"/>
  <c r="P5" i="11"/>
  <c r="P8" i="11"/>
  <c r="P9" i="11"/>
  <c r="O5" i="11"/>
  <c r="O8" i="11"/>
  <c r="O7" i="11"/>
  <c r="Q4" i="11"/>
  <c r="P6" i="11"/>
  <c r="P3" i="11"/>
  <c r="N5" i="11"/>
  <c r="P4" i="11"/>
  <c r="O9" i="11"/>
  <c r="N7" i="11"/>
  <c r="Q2" i="11"/>
  <c r="N8" i="11"/>
  <c r="P2" i="11"/>
  <c r="O4" i="11"/>
  <c r="N9" i="11"/>
  <c r="M9" i="11"/>
  <c r="M8" i="11"/>
  <c r="M5" i="11"/>
  <c r="M7" i="11"/>
  <c r="O6" i="11"/>
  <c r="O3" i="11"/>
  <c r="O2" i="11"/>
  <c r="N3" i="11"/>
  <c r="L7" i="11"/>
  <c r="N6" i="11"/>
  <c r="N4" i="11"/>
  <c r="L5" i="11"/>
  <c r="L8" i="11"/>
  <c r="L9" i="11"/>
  <c r="N2" i="11"/>
  <c r="M3" i="11"/>
  <c r="M6" i="11"/>
  <c r="K7" i="11"/>
  <c r="K9" i="11"/>
  <c r="M2" i="11"/>
  <c r="M4" i="11"/>
  <c r="K8" i="11"/>
  <c r="K5" i="11"/>
  <c r="L3" i="11"/>
  <c r="L4" i="11"/>
  <c r="L6" i="11"/>
  <c r="L2" i="11"/>
  <c r="K6" i="11"/>
  <c r="K3" i="11"/>
  <c r="K2" i="11"/>
  <c r="K4" i="11"/>
  <c r="J7" i="11"/>
  <c r="J9" i="11"/>
  <c r="J5" i="11"/>
  <c r="J8" i="11"/>
  <c r="J3" i="11"/>
  <c r="I3" i="11"/>
  <c r="I5" i="11"/>
  <c r="J4" i="11"/>
  <c r="J2" i="11"/>
  <c r="I9" i="11"/>
  <c r="I8" i="11"/>
  <c r="I7" i="11"/>
  <c r="J6" i="11"/>
  <c r="I4" i="11"/>
  <c r="I6" i="11"/>
  <c r="H9" i="11"/>
  <c r="H5" i="11"/>
  <c r="I2" i="11"/>
  <c r="H7" i="11"/>
  <c r="H8" i="11"/>
  <c r="H4" i="11"/>
  <c r="E9" i="11"/>
  <c r="F9" i="11"/>
  <c r="G9" i="11"/>
  <c r="D9" i="11"/>
  <c r="C9" i="11"/>
  <c r="B9" i="11"/>
  <c r="C8" i="11"/>
  <c r="G8" i="11"/>
  <c r="F8" i="11"/>
  <c r="E8" i="11"/>
  <c r="D8" i="11"/>
  <c r="B8" i="11"/>
  <c r="D7" i="11"/>
  <c r="F7" i="11"/>
  <c r="C7" i="11"/>
  <c r="E7" i="11"/>
  <c r="G7" i="11"/>
  <c r="B7" i="11"/>
  <c r="C6" i="11"/>
  <c r="H6" i="11"/>
  <c r="F6" i="11"/>
  <c r="G6" i="11"/>
  <c r="D6" i="11"/>
  <c r="E6" i="11"/>
  <c r="B6" i="11"/>
  <c r="E5" i="11"/>
  <c r="G5" i="11"/>
  <c r="F5" i="11"/>
  <c r="C5" i="11"/>
  <c r="D5" i="11"/>
  <c r="B5" i="11"/>
  <c r="E4" i="11"/>
  <c r="G4" i="11"/>
  <c r="F4" i="11"/>
  <c r="C4" i="11"/>
  <c r="D4" i="11"/>
  <c r="B4" i="11"/>
  <c r="G3" i="11"/>
  <c r="E3" i="11"/>
  <c r="H3" i="11"/>
  <c r="C3" i="11"/>
  <c r="D3" i="11"/>
  <c r="F3" i="11"/>
  <c r="B3" i="11"/>
  <c r="D2" i="11"/>
  <c r="E2" i="11"/>
  <c r="C2" i="11"/>
  <c r="G2" i="11"/>
  <c r="H2" i="11"/>
  <c r="F2" i="11"/>
  <c r="B2" i="11"/>
  <c r="N1" i="5"/>
  <c r="B3" i="6" s="1"/>
  <c r="N1" i="8"/>
  <c r="B7" i="6" s="1"/>
  <c r="N1" i="7"/>
  <c r="B2" i="6" s="1"/>
  <c r="N1" i="9"/>
  <c r="B4" i="6" s="1"/>
  <c r="N1" i="3"/>
  <c r="B8" i="6" s="1"/>
  <c r="N1" i="4"/>
  <c r="B9" i="6" s="1"/>
  <c r="N1" i="2"/>
  <c r="B6" i="6" s="1"/>
  <c r="N1" i="1"/>
  <c r="B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<sst xmlns="http://schemas.openxmlformats.org/spreadsheetml/2006/main" count="2984" uniqueCount="349">
  <si>
    <t>Scholl</t>
  </si>
  <si>
    <t>Weissenbacher</t>
  </si>
  <si>
    <t>Olinga</t>
  </si>
  <si>
    <t>Wimmer F.</t>
  </si>
  <si>
    <t>LASK</t>
  </si>
  <si>
    <t>Ried</t>
  </si>
  <si>
    <t>Midzic</t>
  </si>
  <si>
    <t>Brkic</t>
  </si>
  <si>
    <t>Tchicamboud</t>
  </si>
  <si>
    <t>Skubl</t>
  </si>
  <si>
    <t>Schweiger</t>
  </si>
  <si>
    <t>Romanyuk B.</t>
  </si>
  <si>
    <t>Romanyuk K.</t>
  </si>
  <si>
    <t>Müller</t>
  </si>
  <si>
    <t>Hajdini</t>
  </si>
  <si>
    <t>St. Anna</t>
  </si>
  <si>
    <t>WAC</t>
  </si>
  <si>
    <t>Six</t>
  </si>
  <si>
    <t>Haider</t>
  </si>
  <si>
    <t>Piffer</t>
  </si>
  <si>
    <t>Gruber</t>
  </si>
  <si>
    <t>Madritsch</t>
  </si>
  <si>
    <t>Österreicher</t>
  </si>
  <si>
    <t>Nisandzic</t>
  </si>
  <si>
    <t>Mörth</t>
  </si>
  <si>
    <t>Hosiner</t>
  </si>
  <si>
    <t>Wojnar</t>
  </si>
  <si>
    <t>Berger</t>
  </si>
  <si>
    <t>Ademi</t>
  </si>
  <si>
    <t>Skyriotis</t>
  </si>
  <si>
    <t>Sismanlar</t>
  </si>
  <si>
    <t>Aleksa</t>
  </si>
  <si>
    <t>Maybach</t>
  </si>
  <si>
    <t>JWR</t>
  </si>
  <si>
    <t>Kebe</t>
  </si>
  <si>
    <t>Augustus</t>
  </si>
  <si>
    <t>Balde</t>
  </si>
  <si>
    <t>Kane</t>
  </si>
  <si>
    <t>Ndukwe</t>
  </si>
  <si>
    <t>Muslioski</t>
  </si>
  <si>
    <t>Altach</t>
  </si>
  <si>
    <t>Young Violets</t>
  </si>
  <si>
    <t>Roka</t>
  </si>
  <si>
    <t>Mankan</t>
  </si>
  <si>
    <t>Szladits</t>
  </si>
  <si>
    <t>Stehrer</t>
  </si>
  <si>
    <t>Amstetten</t>
  </si>
  <si>
    <t>Göschl</t>
  </si>
  <si>
    <t>Muharemovic</t>
  </si>
  <si>
    <t>Rapid</t>
  </si>
  <si>
    <t>Sturm</t>
  </si>
  <si>
    <t>Liefering</t>
  </si>
  <si>
    <t>Brunnhofer</t>
  </si>
  <si>
    <t>Bregenz</t>
  </si>
  <si>
    <t>Music</t>
  </si>
  <si>
    <t>Lustenau</t>
  </si>
  <si>
    <t>Thiero</t>
  </si>
  <si>
    <t>Bendra</t>
  </si>
  <si>
    <t>Striednig</t>
  </si>
  <si>
    <t>Lukic</t>
  </si>
  <si>
    <t>St. Pölten</t>
  </si>
  <si>
    <t>Verhounig</t>
  </si>
  <si>
    <t>Brandtner</t>
  </si>
  <si>
    <t>Moswitzer</t>
  </si>
  <si>
    <t>Camara</t>
  </si>
  <si>
    <t>Scharmer</t>
  </si>
  <si>
    <t>Mustafic</t>
  </si>
  <si>
    <t>Wiener-Pucher</t>
  </si>
  <si>
    <t>Afrifa</t>
  </si>
  <si>
    <t>Soglo</t>
  </si>
  <si>
    <t>Osayantin</t>
  </si>
  <si>
    <t>Team</t>
  </si>
  <si>
    <t>Moser</t>
  </si>
  <si>
    <t>Pokorny</t>
  </si>
  <si>
    <t>Gurmann</t>
  </si>
  <si>
    <t>Ablinger</t>
  </si>
  <si>
    <t>Weinhandl</t>
  </si>
  <si>
    <t>Forobosko</t>
  </si>
  <si>
    <t>Agbevor</t>
  </si>
  <si>
    <t>Nnodim</t>
  </si>
  <si>
    <t>Nezic</t>
  </si>
  <si>
    <t>Balabas</t>
  </si>
  <si>
    <t>Zotz</t>
  </si>
  <si>
    <t>Arencibia</t>
  </si>
  <si>
    <t>Dietach</t>
  </si>
  <si>
    <t>Jurak</t>
  </si>
  <si>
    <t>Zirngast</t>
  </si>
  <si>
    <t>Perovic</t>
  </si>
  <si>
    <t>De Man</t>
  </si>
  <si>
    <t>Abdiji</t>
  </si>
  <si>
    <t>Vonbrül</t>
  </si>
  <si>
    <t>Krstovic</t>
  </si>
  <si>
    <t>Mahic</t>
  </si>
  <si>
    <t>Jusic</t>
  </si>
  <si>
    <t>Radonjic</t>
  </si>
  <si>
    <t>Krause</t>
  </si>
  <si>
    <t>Durakovic</t>
  </si>
  <si>
    <t>Velimirovic</t>
  </si>
  <si>
    <t>Sarcevic</t>
  </si>
  <si>
    <t>Rackl</t>
  </si>
  <si>
    <t>Riquelme</t>
  </si>
  <si>
    <t>Pernot</t>
  </si>
  <si>
    <t>Velden</t>
  </si>
  <si>
    <t>Sanogo</t>
  </si>
  <si>
    <t>Frimpong</t>
  </si>
  <si>
    <t>Frey</t>
  </si>
  <si>
    <t>Krain</t>
  </si>
  <si>
    <t>Abubakar</t>
  </si>
  <si>
    <t>Koplarovics</t>
  </si>
  <si>
    <t>Klagenfurt</t>
  </si>
  <si>
    <t>Fischer</t>
  </si>
  <si>
    <t>Fritzer</t>
  </si>
  <si>
    <t>Treibach</t>
  </si>
  <si>
    <t>Strunz</t>
  </si>
  <si>
    <t>Zikovic</t>
  </si>
  <si>
    <t>Rohrmoser</t>
  </si>
  <si>
    <t>Lorenz</t>
  </si>
  <si>
    <t>Lazarre</t>
  </si>
  <si>
    <t>Geyrhofer</t>
  </si>
  <si>
    <t>Lauterach</t>
  </si>
  <si>
    <t>Milojevic</t>
  </si>
  <si>
    <t>Fetahu</t>
  </si>
  <si>
    <t>Yalcin</t>
  </si>
  <si>
    <t>Startelf-Altersdurchschnitt Saison</t>
  </si>
  <si>
    <t>Altach Juniors</t>
  </si>
  <si>
    <t>1. Spieltag</t>
  </si>
  <si>
    <t>2. Spieltag</t>
  </si>
  <si>
    <t>3. Spieltag</t>
  </si>
  <si>
    <t>4. Spieltag</t>
  </si>
  <si>
    <t>5. Spieltag</t>
  </si>
  <si>
    <t>6. Spieltag</t>
  </si>
  <si>
    <t>7. Spieltag</t>
  </si>
  <si>
    <t>8. Spieltag</t>
  </si>
  <si>
    <t>9. Spieltag</t>
  </si>
  <si>
    <t>10. Spieltag</t>
  </si>
  <si>
    <t>11. Spieltag</t>
  </si>
  <si>
    <t>12. Spieltag</t>
  </si>
  <si>
    <t>13. Spieltag</t>
  </si>
  <si>
    <t>14. Spieltag</t>
  </si>
  <si>
    <t>15. Spieltag</t>
  </si>
  <si>
    <t>16. Spieltag</t>
  </si>
  <si>
    <t>17. Spieltag</t>
  </si>
  <si>
    <t>18. Spieltag</t>
  </si>
  <si>
    <t>19. Spieltag</t>
  </si>
  <si>
    <t>20. Spieltag</t>
  </si>
  <si>
    <t>21. Spieltag</t>
  </si>
  <si>
    <t>Aguilar</t>
  </si>
  <si>
    <t>Bakhty</t>
  </si>
  <si>
    <t>Beck</t>
  </si>
  <si>
    <t>Oedt</t>
  </si>
  <si>
    <t>Lebersorger</t>
  </si>
  <si>
    <t>Dianko</t>
  </si>
  <si>
    <t>Fall</t>
  </si>
  <si>
    <t>Admira</t>
  </si>
  <si>
    <t>Schablas</t>
  </si>
  <si>
    <t>Bischofshofen</t>
  </si>
  <si>
    <t>Oberwaditzer</t>
  </si>
  <si>
    <t>Yabantas</t>
  </si>
  <si>
    <t>Hanak</t>
  </si>
  <si>
    <t>Rossdorfer</t>
  </si>
  <si>
    <t>Sane</t>
  </si>
  <si>
    <t>Orgler</t>
  </si>
  <si>
    <t>Haidara</t>
  </si>
  <si>
    <t>Austria S.</t>
  </si>
  <si>
    <t>Voitsberg</t>
  </si>
  <si>
    <t>Richards</t>
  </si>
  <si>
    <t>Gurten</t>
  </si>
  <si>
    <t>Bauer</t>
  </si>
  <si>
    <t>Asgersson</t>
  </si>
  <si>
    <t>Vienna</t>
  </si>
  <si>
    <t>Ramsbacher</t>
  </si>
  <si>
    <t>Imst</t>
  </si>
  <si>
    <t>Hadzimuratovic</t>
  </si>
  <si>
    <t>Löcker</t>
  </si>
  <si>
    <t>Wallern</t>
  </si>
  <si>
    <t>Pejic</t>
  </si>
  <si>
    <t>Puff</t>
  </si>
  <si>
    <t>Wels</t>
  </si>
  <si>
    <t>Ilic</t>
  </si>
  <si>
    <t>Sawicki</t>
  </si>
  <si>
    <t>Badarneh</t>
  </si>
  <si>
    <t>FAC</t>
  </si>
  <si>
    <t>Wolf</t>
  </si>
  <si>
    <t>Koita</t>
  </si>
  <si>
    <t>Morgenstern</t>
  </si>
  <si>
    <t>Borkovic</t>
  </si>
  <si>
    <t>Schwaz</t>
  </si>
  <si>
    <t>Ender</t>
  </si>
  <si>
    <t>Kuster</t>
  </si>
  <si>
    <t>Stöger</t>
  </si>
  <si>
    <t>Spiegl</t>
  </si>
  <si>
    <t>Weiz</t>
  </si>
  <si>
    <t>Chukwu</t>
  </si>
  <si>
    <t>Drame</t>
  </si>
  <si>
    <t>Kalsdorf</t>
  </si>
  <si>
    <t>Wimmer D.</t>
  </si>
  <si>
    <t>Vogt</t>
  </si>
  <si>
    <t>Dosso</t>
  </si>
  <si>
    <t>DSC</t>
  </si>
  <si>
    <t>Ilk</t>
  </si>
  <si>
    <t>Pirker</t>
  </si>
  <si>
    <t>Jastrzembski</t>
  </si>
  <si>
    <t>Mahiya</t>
  </si>
  <si>
    <t>Austria</t>
  </si>
  <si>
    <t>Adejenughure</t>
  </si>
  <si>
    <t>Schuster</t>
  </si>
  <si>
    <t>Trummer</t>
  </si>
  <si>
    <t>Kuchl</t>
  </si>
  <si>
    <t>Yilmaz</t>
  </si>
  <si>
    <t>Basar</t>
  </si>
  <si>
    <t>Hohenems</t>
  </si>
  <si>
    <t>Kronberger</t>
  </si>
  <si>
    <t>Hamzic</t>
  </si>
  <si>
    <t>Zabransky</t>
  </si>
  <si>
    <t>Ivanschitz</t>
  </si>
  <si>
    <t>Mendes</t>
  </si>
  <si>
    <t>Hussauf</t>
  </si>
  <si>
    <t>Schöller</t>
  </si>
  <si>
    <t>Leodolter</t>
  </si>
  <si>
    <t>Zdichynec</t>
  </si>
  <si>
    <t>Kojzek</t>
  </si>
  <si>
    <t>Kufstein</t>
  </si>
  <si>
    <t>Deutschlandsberg</t>
  </si>
  <si>
    <t>Stripfing</t>
  </si>
  <si>
    <t>Zawieschitzky</t>
  </si>
  <si>
    <t>Sumbu</t>
  </si>
  <si>
    <t>St. Johann</t>
  </si>
  <si>
    <t>Deshishku</t>
  </si>
  <si>
    <t>Gleisdorf</t>
  </si>
  <si>
    <t>Lafnitz</t>
  </si>
  <si>
    <t>Abdi</t>
  </si>
  <si>
    <t>Kapfenberg</t>
  </si>
  <si>
    <t>Gröller</t>
  </si>
  <si>
    <t>Seekirchen</t>
  </si>
  <si>
    <t>Petrovic</t>
  </si>
  <si>
    <t>Thalmann</t>
  </si>
  <si>
    <t>Hodzic</t>
  </si>
  <si>
    <t>Maretic</t>
  </si>
  <si>
    <t>Harrison</t>
  </si>
  <si>
    <t>Kujrakovic</t>
  </si>
  <si>
    <t>Reichenau</t>
  </si>
  <si>
    <t>Ewemade</t>
  </si>
  <si>
    <t>Dornbirn</t>
  </si>
  <si>
    <t>Nunoo</t>
  </si>
  <si>
    <t>Diallo</t>
  </si>
  <si>
    <t>Kiesl</t>
  </si>
  <si>
    <t>Murillo</t>
  </si>
  <si>
    <t>Toifl</t>
  </si>
  <si>
    <t>Höller</t>
  </si>
  <si>
    <t>Saalfelden</t>
  </si>
  <si>
    <t>Schandl</t>
  </si>
  <si>
    <t>Schillinger</t>
  </si>
  <si>
    <t>Mohammad</t>
  </si>
  <si>
    <t>Kone</t>
  </si>
  <si>
    <t>Zuo</t>
  </si>
  <si>
    <t>Khudyakov</t>
  </si>
  <si>
    <t>Wals-Grünau</t>
  </si>
  <si>
    <t>Zorlu</t>
  </si>
  <si>
    <t>Neto</t>
  </si>
  <si>
    <t>Danylenko</t>
  </si>
  <si>
    <t>Pesu</t>
  </si>
  <si>
    <t>Stosic</t>
  </si>
  <si>
    <t>Kitzbühel</t>
  </si>
  <si>
    <t>Pazourek</t>
  </si>
  <si>
    <t>Pursall</t>
  </si>
  <si>
    <t>Rabok</t>
  </si>
  <si>
    <t>Raymond</t>
  </si>
  <si>
    <t>Innsbruck</t>
  </si>
  <si>
    <t>Weixelbraun</t>
  </si>
  <si>
    <t>Erdogan</t>
  </si>
  <si>
    <t>Jankovic</t>
  </si>
  <si>
    <t>Roider</t>
  </si>
  <si>
    <t>Beganovic</t>
  </si>
  <si>
    <t>Sulzbacher</t>
  </si>
  <si>
    <t>Freund</t>
  </si>
  <si>
    <t>Moizi</t>
  </si>
  <si>
    <t>Markovic</t>
  </si>
  <si>
    <t>Kirnbauer</t>
  </si>
  <si>
    <t>Köstenbauer</t>
  </si>
  <si>
    <t>Schwaighofer</t>
  </si>
  <si>
    <t>Frauscher</t>
  </si>
  <si>
    <t>Martinetz</t>
  </si>
  <si>
    <t>Zetic</t>
  </si>
  <si>
    <t>Sammer</t>
  </si>
  <si>
    <t>Traun</t>
  </si>
  <si>
    <t>Diakite</t>
  </si>
  <si>
    <t>Krapf</t>
  </si>
  <si>
    <t>Vorsager</t>
  </si>
  <si>
    <t>Djezic</t>
  </si>
  <si>
    <t>Ekereokosu</t>
  </si>
  <si>
    <t>Zangerl</t>
  </si>
  <si>
    <t>Donat</t>
  </si>
  <si>
    <t>Yeboah</t>
  </si>
  <si>
    <t>Cechal</t>
  </si>
  <si>
    <t>Maierhofer</t>
  </si>
  <si>
    <t>Palacios</t>
  </si>
  <si>
    <t>Antonitsch</t>
  </si>
  <si>
    <t>Wilson</t>
  </si>
  <si>
    <t>Chase</t>
  </si>
  <si>
    <t>Scharner</t>
  </si>
  <si>
    <t>German</t>
  </si>
  <si>
    <t>Aisowieren</t>
  </si>
  <si>
    <t>Wustinger</t>
  </si>
  <si>
    <t>Scherf</t>
  </si>
  <si>
    <t>de Freitas</t>
  </si>
  <si>
    <t>Djuric</t>
  </si>
  <si>
    <t>Michael</t>
  </si>
  <si>
    <t>Wanker</t>
  </si>
  <si>
    <t>Peinhart</t>
  </si>
  <si>
    <t>Coulibaly</t>
  </si>
  <si>
    <t>Adeshina</t>
  </si>
  <si>
    <t>Bogou</t>
  </si>
  <si>
    <t>Scherzer</t>
  </si>
  <si>
    <t>Drabo</t>
  </si>
  <si>
    <t>Dermane</t>
  </si>
  <si>
    <t>Rahmani</t>
  </si>
  <si>
    <t>Kolp</t>
  </si>
  <si>
    <t>Blazevic</t>
  </si>
  <si>
    <t>Stöckl</t>
  </si>
  <si>
    <t>Brandt</t>
  </si>
  <si>
    <t>Benjamin</t>
  </si>
  <si>
    <t>Wernitznig</t>
  </si>
  <si>
    <t>Zeqiri</t>
  </si>
  <si>
    <t>Antosch</t>
  </si>
  <si>
    <t>Halastar</t>
  </si>
  <si>
    <t>22. Spieltag</t>
  </si>
  <si>
    <t>23. Spieltag</t>
  </si>
  <si>
    <t>24. Spieltag</t>
  </si>
  <si>
    <t>25. Spieltag</t>
  </si>
  <si>
    <t>26. Spieltag</t>
  </si>
  <si>
    <t>Schwaiger</t>
  </si>
  <si>
    <t>Wansch</t>
  </si>
  <si>
    <t>Mahop</t>
  </si>
  <si>
    <t>Ivkovic</t>
  </si>
  <si>
    <t>de Man</t>
  </si>
  <si>
    <t>Grgic</t>
  </si>
  <si>
    <t>Goiginger</t>
  </si>
  <si>
    <t>Wimmer</t>
  </si>
  <si>
    <t>Jindra</t>
  </si>
  <si>
    <t>28. Spieltag</t>
  </si>
  <si>
    <t>29. Spieltag</t>
  </si>
  <si>
    <t>30. Spieltag</t>
  </si>
  <si>
    <t>27. Spieltag</t>
  </si>
  <si>
    <t>Mellberg</t>
  </si>
  <si>
    <t>Nsumbu</t>
  </si>
  <si>
    <t>Petritsch</t>
  </si>
  <si>
    <t>Haas</t>
  </si>
  <si>
    <t>Matjasec</t>
  </si>
  <si>
    <t>Masching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</si>
</sst>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Font="1"/>
    <xf numFmtId="2" fontId="0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2"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 sz="1400"/>
              <a:t>Verlauf Altersdurchschnitt JWR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(JWR!$N$3,JWR!$N$6,JWR!$N$9,JWR!$N$12,JWR!$N$15,JWR!$N$18,JWR!$N$21,JWR!$N$24,JWR!$N$27,JWR!$N$30,JWR!$N$33,JWR!$N$36,JWR!$N$39,JWR!$N$42,JWR!$N$45,JWR!$N$48,JWR!$N$51,JWR!$N$54,JWR!$N$57,JWR!$N$60,JWR!$N$63,JWR!$N$66,JWR!$N$69,JWR!$N$72)</c:f>
              <c:numCache>
                <c:formatCode>0.00</c:formatCode>
                <c:ptCount val="24"/>
                <c:pt idx="0">
                  <c:v>19.727272727272727</c:v>
                </c:pt>
                <c:pt idx="1">
                  <c:v>18.727272727272727</c:v>
                </c:pt>
                <c:pt idx="2">
                  <c:v>21.272727272727273</c:v>
                </c:pt>
                <c:pt idx="3">
                  <c:v>20</c:v>
                </c:pt>
                <c:pt idx="4">
                  <c:v>20.90909090909091</c:v>
                </c:pt>
                <c:pt idx="5">
                  <c:v>19.09090909090909</c:v>
                </c:pt>
                <c:pt idx="6">
                  <c:v>18.727272727272727</c:v>
                </c:pt>
                <c:pt idx="7">
                  <c:v>19.727272727272727</c:v>
                </c:pt>
                <c:pt idx="8">
                  <c:v>18.818181818181817</c:v>
                </c:pt>
                <c:pt idx="9">
                  <c:v>19.727272727272727</c:v>
                </c:pt>
                <c:pt idx="10">
                  <c:v>19.454545454545453</c:v>
                </c:pt>
                <c:pt idx="11">
                  <c:v>19.545454545454547</c:v>
                </c:pt>
                <c:pt idx="12">
                  <c:v>18.90909090909091</c:v>
                </c:pt>
                <c:pt idx="13">
                  <c:v>19.636363636363637</c:v>
                </c:pt>
                <c:pt idx="14">
                  <c:v>18.636363636363637</c:v>
                </c:pt>
                <c:pt idx="15">
                  <c:v>19.545454545454547</c:v>
                </c:pt>
                <c:pt idx="16">
                  <c:v>19.818181818181817</c:v>
                </c:pt>
                <c:pt idx="17">
                  <c:v>20.363636363636363</c:v>
                </c:pt>
                <c:pt idx="18">
                  <c:v>19.454545454545453</c:v>
                </c:pt>
                <c:pt idx="19">
                  <c:v>22.09090909090909</c:v>
                </c:pt>
                <c:pt idx="20">
                  <c:v>21.545454545454547</c:v>
                </c:pt>
                <c:pt idx="21">
                  <c:v>23.09090909090909</c:v>
                </c:pt>
                <c:pt idx="22">
                  <c:v>18.818181818181817</c:v>
                </c:pt>
                <c:pt idx="23">
                  <c:v>19.818181818181817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D-45D9-97DD-800989121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397856"/>
        <c:axId val="2051367488"/>
      </c:lineChart>
      <c:catAx>
        <c:axId val="21093978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051367488"/>
        <c:crosses val="autoZero"/>
        <c:auto val="1"/>
        <c:lblAlgn val="ctr"/>
        <c:lblOffset val="100"/>
        <c:noMultiLvlLbl val="0"/>
      </c:catAx>
      <c:valAx>
        <c:axId val="2051367488"/>
        <c:scaling>
          <c:orientation val="minMax"/>
          <c:max val="22.5"/>
          <c:min val="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939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 sz="1100"/>
              <a:t>Verlauf Altersdurchschnitt Altach Juniors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('Altach Juniors'!$N$3,'Altach Juniors'!$N$6,'Altach Juniors'!$N$9,'Altach Juniors'!$N$12,'Altach Juniors'!$N$15,'Altach Juniors'!$N$18,'Altach Juniors'!$N$21,'Altach Juniors'!$N$24,'Altach Juniors'!$N$27,'Altach Juniors'!$N$30,'Altach Juniors'!$N$33,'Altach Juniors'!$N$36,'Altach Juniors'!$N$39,'Altach Juniors'!$N$42,'Altach Juniors'!$N$45,'Altach Juniors'!$N$48,'Altach Juniors'!$N$51,'Altach Juniors'!$N$54,'Altach Juniors'!$N$57)</c:f>
              <c:numCache>
                <c:formatCode>0.00</c:formatCode>
                <c:ptCount val="19"/>
                <c:pt idx="0">
                  <c:v>19.181818181818183</c:v>
                </c:pt>
                <c:pt idx="1">
                  <c:v>19.727272727272727</c:v>
                </c:pt>
                <c:pt idx="2">
                  <c:v>19.363636363636363</c:v>
                </c:pt>
                <c:pt idx="3">
                  <c:v>19.727272727272727</c:v>
                </c:pt>
                <c:pt idx="4">
                  <c:v>19.818181818181817</c:v>
                </c:pt>
                <c:pt idx="5">
                  <c:v>19.545454545454547</c:v>
                </c:pt>
                <c:pt idx="6">
                  <c:v>20.454545454545453</c:v>
                </c:pt>
                <c:pt idx="7">
                  <c:v>19.545454545454547</c:v>
                </c:pt>
                <c:pt idx="8">
                  <c:v>19.545454545454547</c:v>
                </c:pt>
                <c:pt idx="9">
                  <c:v>18.636363636363637</c:v>
                </c:pt>
                <c:pt idx="10">
                  <c:v>20.272727272727273</c:v>
                </c:pt>
                <c:pt idx="11">
                  <c:v>19.90909090909091</c:v>
                </c:pt>
                <c:pt idx="12">
                  <c:v>19.545454545454547</c:v>
                </c:pt>
                <c:pt idx="13">
                  <c:v>19</c:v>
                </c:pt>
                <c:pt idx="14">
                  <c:v>20.363636363636363</c:v>
                </c:pt>
                <c:pt idx="15">
                  <c:v>20.272727272727273</c:v>
                </c:pt>
                <c:pt idx="16">
                  <c:v>19.818181818181817</c:v>
                </c:pt>
                <c:pt idx="17">
                  <c:v>20.181818181818183</c:v>
                </c:pt>
                <c:pt idx="18">
                  <c:v>19.818181818181817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F-43FF-B35C-F11B81ED2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404784"/>
        <c:axId val="2109398816"/>
      </c:lineChart>
      <c:catAx>
        <c:axId val="477404784"/>
        <c:scaling>
          <c:orientation val="minMax"/>
        </c:scaling>
        <c:delete val="1"/>
        <c:axPos val="b"/>
        <c:majorTickMark val="none"/>
        <c:minorTickMark val="none"/>
        <c:tickLblPos val="nextTo"/>
        <c:crossAx val="2109398816"/>
        <c:crosses val="autoZero"/>
        <c:auto val="1"/>
        <c:lblAlgn val="ctr"/>
        <c:lblOffset val="100"/>
        <c:noMultiLvlLbl val="0"/>
      </c:catAx>
      <c:valAx>
        <c:axId val="2109398816"/>
        <c:scaling>
          <c:orientation val="minMax"/>
          <c:max val="22.5"/>
          <c:min val="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740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 sz="1400"/>
              <a:t>Verlauf Altersdurchschnitt Liefering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(Liefering!$N$3:$N$57,Liefering!$N$60,Liefering!$N$63,Liefering!$N$66,Liefering!$N$69,Liefering!$N$72)</c:f>
              <c:numCache>
                <c:formatCode>General</c:formatCode>
                <c:ptCount val="60"/>
                <c:pt idx="0" formatCode="0.00">
                  <c:v>19.454545454545453</c:v>
                </c:pt>
                <c:pt idx="3" formatCode="0.00">
                  <c:v>19.636363636363637</c:v>
                </c:pt>
                <c:pt idx="6" formatCode="0.00">
                  <c:v>19.727272727272727</c:v>
                </c:pt>
                <c:pt idx="9" formatCode="0.00">
                  <c:v>19.636363636363637</c:v>
                </c:pt>
                <c:pt idx="12" formatCode="0.00">
                  <c:v>19.636363636363637</c:v>
                </c:pt>
                <c:pt idx="15" formatCode="0.00">
                  <c:v>19.636363636363637</c:v>
                </c:pt>
                <c:pt idx="18" formatCode="0.00">
                  <c:v>19.545454545454547</c:v>
                </c:pt>
                <c:pt idx="21" formatCode="0.00">
                  <c:v>19.636363636363637</c:v>
                </c:pt>
                <c:pt idx="24" formatCode="0.00">
                  <c:v>19.545454545454547</c:v>
                </c:pt>
                <c:pt idx="27" formatCode="0.00">
                  <c:v>19.727272727272727</c:v>
                </c:pt>
                <c:pt idx="30" formatCode="0.00">
                  <c:v>19.545454545454547</c:v>
                </c:pt>
                <c:pt idx="33" formatCode="0.00">
                  <c:v>19.636363636363637</c:v>
                </c:pt>
                <c:pt idx="36" formatCode="0.00">
                  <c:v>19.727272727272727</c:v>
                </c:pt>
                <c:pt idx="39" formatCode="0.00">
                  <c:v>19.454545454545453</c:v>
                </c:pt>
                <c:pt idx="42" formatCode="0.00">
                  <c:v>19.818181818181817</c:v>
                </c:pt>
                <c:pt idx="45" formatCode="0.00">
                  <c:v>19.727272727272727</c:v>
                </c:pt>
                <c:pt idx="48" formatCode="0.00">
                  <c:v>19.636363636363637</c:v>
                </c:pt>
                <c:pt idx="51" formatCode="0.00">
                  <c:v>19.363636363636363</c:v>
                </c:pt>
                <c:pt idx="54" formatCode="0.00">
                  <c:v>19.636363636363637</c:v>
                </c:pt>
                <c:pt idx="55" formatCode="0.00">
                  <c:v>19.727272727272727</c:v>
                </c:pt>
                <c:pt idx="56" formatCode="0.00">
                  <c:v>19.727272727272727</c:v>
                </c:pt>
                <c:pt idx="57" formatCode="0.00">
                  <c:v>19.545454545454547</c:v>
                </c:pt>
                <c:pt idx="58" formatCode="0.00">
                  <c:v>19.727272727272727</c:v>
                </c:pt>
                <c:pt idx="59" formatCode="0.00">
                  <c:v>19.454545454545453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7-42A7-BE9A-D3E8A3CA7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812928"/>
        <c:axId val="477611184"/>
      </c:lineChart>
      <c:catAx>
        <c:axId val="2117812928"/>
        <c:scaling>
          <c:orientation val="minMax"/>
        </c:scaling>
        <c:delete val="1"/>
        <c:axPos val="b"/>
        <c:majorTickMark val="none"/>
        <c:minorTickMark val="none"/>
        <c:tickLblPos val="nextTo"/>
        <c:crossAx val="477611184"/>
        <c:crosses val="autoZero"/>
        <c:auto val="1"/>
        <c:lblAlgn val="ctr"/>
        <c:lblOffset val="100"/>
        <c:noMultiLvlLbl val="0"/>
      </c:catAx>
      <c:valAx>
        <c:axId val="477611184"/>
        <c:scaling>
          <c:orientation val="minMax"/>
          <c:max val="22.5"/>
          <c:min val="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781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 sz="1400"/>
              <a:t>Verlauf Altersdurchschnitt Sturm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(Sturm!$N$3:$N$57,Sturm!$N$60,Sturm!$N$63,Sturm!$N$66,Sturm!$N$69,Sturm!$N$72,Sturm!$N$75,Sturm!$N$78,Sturm!$N$78,Sturm!$N$79,Sturm!$N$79)</c:f>
              <c:numCache>
                <c:formatCode>General</c:formatCode>
                <c:ptCount val="65"/>
                <c:pt idx="0" formatCode="0.00">
                  <c:v>20.272727272727273</c:v>
                </c:pt>
                <c:pt idx="3" formatCode="0.00">
                  <c:v>20.545454545454547</c:v>
                </c:pt>
                <c:pt idx="6" formatCode="0.00">
                  <c:v>20.454545454545453</c:v>
                </c:pt>
                <c:pt idx="9" formatCode="0.00">
                  <c:v>20.545454545454547</c:v>
                </c:pt>
                <c:pt idx="12" formatCode="0.00">
                  <c:v>20.181818181818183</c:v>
                </c:pt>
                <c:pt idx="15" formatCode="0.00">
                  <c:v>20.363636363636363</c:v>
                </c:pt>
                <c:pt idx="18" formatCode="0.00">
                  <c:v>21.363636363636363</c:v>
                </c:pt>
                <c:pt idx="21" formatCode="0.00">
                  <c:v>21</c:v>
                </c:pt>
                <c:pt idx="24" formatCode="0.00">
                  <c:v>21.727272727272727</c:v>
                </c:pt>
                <c:pt idx="27" formatCode="0.00">
                  <c:v>21.09090909090909</c:v>
                </c:pt>
                <c:pt idx="30" formatCode="0.00">
                  <c:v>21.09090909090909</c:v>
                </c:pt>
                <c:pt idx="33" formatCode="0.00">
                  <c:v>21.09090909090909</c:v>
                </c:pt>
                <c:pt idx="36" formatCode="0.00">
                  <c:v>21.272727272727273</c:v>
                </c:pt>
                <c:pt idx="39" formatCode="0.00">
                  <c:v>21.818181818181817</c:v>
                </c:pt>
                <c:pt idx="42" formatCode="0.00">
                  <c:v>20.727272727272727</c:v>
                </c:pt>
                <c:pt idx="45" formatCode="0.00">
                  <c:v>21.09090909090909</c:v>
                </c:pt>
                <c:pt idx="48" formatCode="0.00">
                  <c:v>20.727272727272727</c:v>
                </c:pt>
                <c:pt idx="51" formatCode="0.00">
                  <c:v>20.818181818181817</c:v>
                </c:pt>
                <c:pt idx="54" formatCode="0.00">
                  <c:v>21</c:v>
                </c:pt>
                <c:pt idx="55" formatCode="0.00">
                  <c:v>20.818181818181817</c:v>
                </c:pt>
                <c:pt idx="56" formatCode="0.00">
                  <c:v>21</c:v>
                </c:pt>
                <c:pt idx="57" formatCode="0.00">
                  <c:v>20.90909090909091</c:v>
                </c:pt>
                <c:pt idx="58" formatCode="0.00">
                  <c:v>21.181818181818183</c:v>
                </c:pt>
                <c:pt idx="59" formatCode="0.00">
                  <c:v>20.363636363636363</c:v>
                </c:pt>
                <c:pt idx="60" formatCode="0.00">
                  <c:v>20.818181818181817</c:v>
                </c:pt>
                <c:pt idx="61" formatCode="0.00">
                  <c:v>20.545454545454547</c:v>
                </c:pt>
                <c:pt idx="62" formatCode="0.00">
                  <c:v>20.545454545454547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7-4D75-A882-C5C76B0AC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875312"/>
        <c:axId val="381445744"/>
      </c:lineChart>
      <c:catAx>
        <c:axId val="1994875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381445744"/>
        <c:crosses val="autoZero"/>
        <c:auto val="1"/>
        <c:lblAlgn val="ctr"/>
        <c:lblOffset val="100"/>
        <c:noMultiLvlLbl val="0"/>
      </c:catAx>
      <c:valAx>
        <c:axId val="381445744"/>
        <c:scaling>
          <c:orientation val="minMax"/>
          <c:max val="22.5"/>
          <c:min val="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487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 sz="1400"/>
              <a:t>Verlauf Altersdurchschnitt LASK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(LASK!$N$3,LASK!$N$6,LASK!$N$9,LASK!$N$12,LASK!$N$15,LASK!$N$18,LASK!$N$21,LASK!$N$24,LASK!$N$27,LASK!$N$30,LASK!$N$33,LASK!$N$36,LASK!$N$39,LASK!$N$42,LASK!$N$45,LASK!$N$48,LASK!$N$51,LASK!$N$54,LASK!$N$57,LASK!$N$60,LASK!$N$63,LASK!$N$66,LASK!$N$69,LASK!$N$72)</c:f>
              <c:numCache>
                <c:formatCode>0.00</c:formatCode>
                <c:ptCount val="24"/>
                <c:pt idx="0">
                  <c:v>20.545454545454547</c:v>
                </c:pt>
                <c:pt idx="1">
                  <c:v>20.818181818181817</c:v>
                </c:pt>
                <c:pt idx="2">
                  <c:v>20.545454545454547</c:v>
                </c:pt>
                <c:pt idx="3">
                  <c:v>20.09090909090909</c:v>
                </c:pt>
                <c:pt idx="4">
                  <c:v>20.363636363636363</c:v>
                </c:pt>
                <c:pt idx="5">
                  <c:v>20.454545454545453</c:v>
                </c:pt>
                <c:pt idx="6">
                  <c:v>20.545454545454547</c:v>
                </c:pt>
                <c:pt idx="7">
                  <c:v>20.545454545454547</c:v>
                </c:pt>
                <c:pt idx="8">
                  <c:v>20.727272727272727</c:v>
                </c:pt>
                <c:pt idx="9">
                  <c:v>20.727272727272727</c:v>
                </c:pt>
                <c:pt idx="10">
                  <c:v>20.545454545454547</c:v>
                </c:pt>
                <c:pt idx="11">
                  <c:v>20.545454545454547</c:v>
                </c:pt>
                <c:pt idx="12">
                  <c:v>20.272727272727273</c:v>
                </c:pt>
                <c:pt idx="13">
                  <c:v>20.363636363636363</c:v>
                </c:pt>
                <c:pt idx="14">
                  <c:v>20.636363636363637</c:v>
                </c:pt>
                <c:pt idx="15">
                  <c:v>20.181818181818183</c:v>
                </c:pt>
                <c:pt idx="16">
                  <c:v>19.636363636363637</c:v>
                </c:pt>
                <c:pt idx="17">
                  <c:v>19.181818181818183</c:v>
                </c:pt>
                <c:pt idx="18">
                  <c:v>19.181818181818183</c:v>
                </c:pt>
                <c:pt idx="19">
                  <c:v>20.272727272727273</c:v>
                </c:pt>
                <c:pt idx="20">
                  <c:v>20.363636363636363</c:v>
                </c:pt>
                <c:pt idx="21">
                  <c:v>19.727272727272727</c:v>
                </c:pt>
                <c:pt idx="22">
                  <c:v>19.818181818181817</c:v>
                </c:pt>
                <c:pt idx="23">
                  <c:v>19.272727272727273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5-4FC2-8AD0-D4589CA41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739968"/>
        <c:axId val="2063741408"/>
      </c:lineChart>
      <c:catAx>
        <c:axId val="2063739968"/>
        <c:scaling>
          <c:orientation val="minMax"/>
        </c:scaling>
        <c:delete val="1"/>
        <c:axPos val="b"/>
        <c:majorTickMark val="none"/>
        <c:minorTickMark val="none"/>
        <c:tickLblPos val="nextTo"/>
        <c:crossAx val="2063741408"/>
        <c:crosses val="autoZero"/>
        <c:auto val="1"/>
        <c:lblAlgn val="ctr"/>
        <c:lblOffset val="100"/>
        <c:noMultiLvlLbl val="0"/>
      </c:catAx>
      <c:valAx>
        <c:axId val="2063741408"/>
        <c:scaling>
          <c:orientation val="minMax"/>
          <c:max val="22"/>
          <c:min val="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37399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 sz="1200"/>
              <a:t>Verlauf</a:t>
            </a:r>
            <a:r>
              <a:rPr lang="de-DE" sz="1100"/>
              <a:t> Altersdurchschnitt Young Violets</a:t>
            </a:r>
          </a:p>
        </c:rich>
      </c:tx>
      <c:layout>
        <c:manualLayout>
          <c:xMode val="edge"/>
          <c:yMode val="edge"/>
          <c:x val="0.1235814647348332"/>
          <c:y val="4.210526315789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390774402791799"/>
          <c:y val="0.31880701754385965"/>
          <c:w val="0.85063125406297535"/>
          <c:h val="0.58857355988396187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rgbClr val="7030A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('Young Violets'!$N$3,'Young Violets'!$N$6,'Young Violets'!$N$9,'Young Violets'!$N$12,'Young Violets'!$N$15,'Young Violets'!$N$18,'Young Violets'!$N$21,'Young Violets'!$N$24,'Young Violets'!$N$27,'Young Violets'!$N$30,'Young Violets'!$N$33,'Young Violets'!$N$36,'Young Violets'!$N$39,'Young Violets'!$N$42,'Young Violets'!$N$45,'Young Violets'!$N$48,'Young Violets'!$N$51,'Young Violets'!$N$54,'Young Violets'!$N$57,'Young Violets'!$N$60)</c:f>
              <c:numCache>
                <c:formatCode>0.00</c:formatCode>
                <c:ptCount val="20"/>
                <c:pt idx="0">
                  <c:v>20.818181818181817</c:v>
                </c:pt>
                <c:pt idx="1">
                  <c:v>20.90909090909091</c:v>
                </c:pt>
                <c:pt idx="2">
                  <c:v>21.09090909090909</c:v>
                </c:pt>
                <c:pt idx="3">
                  <c:v>21.181818181818183</c:v>
                </c:pt>
                <c:pt idx="4">
                  <c:v>21.363636363636363</c:v>
                </c:pt>
                <c:pt idx="5">
                  <c:v>21.272727272727273</c:v>
                </c:pt>
                <c:pt idx="6">
                  <c:v>21.363636363636363</c:v>
                </c:pt>
                <c:pt idx="7">
                  <c:v>20.90909090909091</c:v>
                </c:pt>
                <c:pt idx="8">
                  <c:v>19.90909090909091</c:v>
                </c:pt>
                <c:pt idx="9">
                  <c:v>19.636363636363637</c:v>
                </c:pt>
                <c:pt idx="10">
                  <c:v>21.454545454545453</c:v>
                </c:pt>
                <c:pt idx="11">
                  <c:v>21.454545454545453</c:v>
                </c:pt>
                <c:pt idx="12">
                  <c:v>21.545454545454547</c:v>
                </c:pt>
                <c:pt idx="13">
                  <c:v>21.636363636363637</c:v>
                </c:pt>
                <c:pt idx="14">
                  <c:v>21.545454545454547</c:v>
                </c:pt>
                <c:pt idx="15">
                  <c:v>21.545454545454547</c:v>
                </c:pt>
                <c:pt idx="16">
                  <c:v>21.09090909090909</c:v>
                </c:pt>
                <c:pt idx="17">
                  <c:v>21.545454545454547</c:v>
                </c:pt>
                <c:pt idx="18">
                  <c:v>22</c:v>
                </c:pt>
                <c:pt idx="1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1-47D7-9E48-A8703B414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874352"/>
        <c:axId val="1994872432"/>
      </c:lineChart>
      <c:catAx>
        <c:axId val="1994874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994872432"/>
        <c:crosses val="autoZero"/>
        <c:auto val="1"/>
        <c:lblAlgn val="ctr"/>
        <c:lblOffset val="100"/>
        <c:noMultiLvlLbl val="0"/>
      </c:catAx>
      <c:valAx>
        <c:axId val="1994872432"/>
        <c:scaling>
          <c:orientation val="minMax"/>
          <c:max val="22"/>
          <c:min val="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487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 sz="1400"/>
              <a:t>Verlauf Altersdurchschnitt WAC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(WAC!$N$3,WAC!$N$6,WAC!$N$9,WAC!$N$12,WAC!$N$15,WAC!$N$18,WAC!$N$21,WAC!$N$24,WAC!$N$27,WAC!$N$30,WAC!$N$33,WAC!$N$36,WAC!$N$39,WAC!$N$42,WAC!$N$45,WAC!$N$48,WAC!$N$51,WAC!$N$54,WAC!$N$57,WAC!$N$60,WAC!$N$63,WAC!$N$66,WAC!$N$69)</c:f>
              <c:numCache>
                <c:formatCode>0.00</c:formatCode>
                <c:ptCount val="23"/>
                <c:pt idx="0">
                  <c:v>21.272727272727273</c:v>
                </c:pt>
                <c:pt idx="1">
                  <c:v>21.545454545454547</c:v>
                </c:pt>
                <c:pt idx="2">
                  <c:v>21.272727272727273</c:v>
                </c:pt>
                <c:pt idx="3">
                  <c:v>21.181818181818183</c:v>
                </c:pt>
                <c:pt idx="4">
                  <c:v>21</c:v>
                </c:pt>
                <c:pt idx="5">
                  <c:v>20.363636363636363</c:v>
                </c:pt>
                <c:pt idx="6">
                  <c:v>20.454545454545453</c:v>
                </c:pt>
                <c:pt idx="7">
                  <c:v>20.727272727272727</c:v>
                </c:pt>
                <c:pt idx="8">
                  <c:v>21</c:v>
                </c:pt>
                <c:pt idx="9">
                  <c:v>20.636363636363637</c:v>
                </c:pt>
                <c:pt idx="10">
                  <c:v>21.09090909090909</c:v>
                </c:pt>
                <c:pt idx="11">
                  <c:v>20.636363636363637</c:v>
                </c:pt>
                <c:pt idx="12">
                  <c:v>20.727272727272727</c:v>
                </c:pt>
                <c:pt idx="13">
                  <c:v>20.90909090909091</c:v>
                </c:pt>
                <c:pt idx="14">
                  <c:v>21.09090909090909</c:v>
                </c:pt>
                <c:pt idx="15">
                  <c:v>21.272727272727273</c:v>
                </c:pt>
                <c:pt idx="16">
                  <c:v>20.636363636363637</c:v>
                </c:pt>
                <c:pt idx="17">
                  <c:v>21.181818181818183</c:v>
                </c:pt>
                <c:pt idx="18">
                  <c:v>21.454545454545453</c:v>
                </c:pt>
                <c:pt idx="19">
                  <c:v>21.181818181818183</c:v>
                </c:pt>
                <c:pt idx="20">
                  <c:v>21.09090909090909</c:v>
                </c:pt>
                <c:pt idx="21">
                  <c:v>21.454545454545453</c:v>
                </c:pt>
                <c:pt idx="2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A-42AE-BF37-048BF1186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910400"/>
        <c:axId val="476907520"/>
      </c:lineChart>
      <c:catAx>
        <c:axId val="476910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476907520"/>
        <c:crosses val="autoZero"/>
        <c:auto val="1"/>
        <c:lblAlgn val="ctr"/>
        <c:lblOffset val="100"/>
        <c:noMultiLvlLbl val="0"/>
      </c:catAx>
      <c:valAx>
        <c:axId val="476907520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69104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de-DE" sz="1400"/>
              <a:t>Verlauf Altersdurchschnitt Rapid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36330026558192"/>
          <c:y val="0.32618542108987969"/>
          <c:w val="0.85099152609327178"/>
          <c:h val="0.59596602972399138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(Rapid!$N$3:$N$57,Rapid!$N$60,Rapid!$N$63,Rapid!$N$66,Rapid!$N$69,Rapid!$N$72,Rapid!$N$75)</c:f>
              <c:numCache>
                <c:formatCode>0.00</c:formatCode>
                <c:ptCount val="61"/>
                <c:pt idx="0">
                  <c:v>20</c:v>
                </c:pt>
                <c:pt idx="3">
                  <c:v>20.454545454545453</c:v>
                </c:pt>
                <c:pt idx="6">
                  <c:v>20.454545454545453</c:v>
                </c:pt>
                <c:pt idx="9">
                  <c:v>20.272727272727273</c:v>
                </c:pt>
                <c:pt idx="12">
                  <c:v>20.272727272727273</c:v>
                </c:pt>
                <c:pt idx="15">
                  <c:v>20.363636363636363</c:v>
                </c:pt>
                <c:pt idx="18">
                  <c:v>19.90909090909091</c:v>
                </c:pt>
                <c:pt idx="21">
                  <c:v>20</c:v>
                </c:pt>
                <c:pt idx="24">
                  <c:v>20.09090909090909</c:v>
                </c:pt>
                <c:pt idx="27">
                  <c:v>19.818181818181817</c:v>
                </c:pt>
                <c:pt idx="30">
                  <c:v>19.818181818181817</c:v>
                </c:pt>
                <c:pt idx="33">
                  <c:v>19.636363636363637</c:v>
                </c:pt>
                <c:pt idx="36">
                  <c:v>19.454545454545453</c:v>
                </c:pt>
                <c:pt idx="39">
                  <c:v>20</c:v>
                </c:pt>
                <c:pt idx="42">
                  <c:v>19.727272727272727</c:v>
                </c:pt>
                <c:pt idx="45">
                  <c:v>19.636363636363637</c:v>
                </c:pt>
                <c:pt idx="48">
                  <c:v>19.363636363636363</c:v>
                </c:pt>
                <c:pt idx="51">
                  <c:v>19.09090909090909</c:v>
                </c:pt>
                <c:pt idx="54">
                  <c:v>18.818181818181817</c:v>
                </c:pt>
                <c:pt idx="55">
                  <c:v>18.818181818181817</c:v>
                </c:pt>
                <c:pt idx="56">
                  <c:v>19.272727272727273</c:v>
                </c:pt>
                <c:pt idx="57">
                  <c:v>19.363636363636363</c:v>
                </c:pt>
                <c:pt idx="58">
                  <c:v>19.09090909090909</c:v>
                </c:pt>
                <c:pt idx="59">
                  <c:v>19.545454545454547</c:v>
                </c:pt>
                <c:pt idx="60">
                  <c:v>19.545454545454547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A-4D8A-865C-EF628B6AF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976384"/>
        <c:axId val="2116977344"/>
      </c:lineChart>
      <c:catAx>
        <c:axId val="2116976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2116977344"/>
        <c:crosses val="autoZero"/>
        <c:auto val="1"/>
        <c:lblAlgn val="ctr"/>
        <c:lblOffset val="100"/>
        <c:noMultiLvlLbl val="0"/>
      </c:catAx>
      <c:valAx>
        <c:axId val="2116977344"/>
        <c:scaling>
          <c:orientation val="minMax"/>
          <c:max val="22"/>
          <c:min val="1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9763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Verlauf Altersdurchschnitt JWR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JWR!$N$3</c:f>
              <c:strCache>
                <c:ptCount val="1"/>
                <c:pt idx="0">
                  <c:v>19,73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05E-40A8-B8B2-CDC4EB1B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397856"/>
        <c:axId val="2051367488"/>
      </c:lineChart>
      <c:catAx>
        <c:axId val="21093978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051367488"/>
        <c:crosses val="autoZero"/>
        <c:auto val="1"/>
        <c:lblAlgn val="ctr"/>
        <c:lblOffset val="100"/>
        <c:noMultiLvlLbl val="0"/>
      </c:catAx>
      <c:valAx>
        <c:axId val="2051367488"/>
        <c:scaling>
          <c:orientation val="minMax"/>
          <c:max val="21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939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Verlauf Altersdurchschnitt LASK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(LASK!$N$3,LASK!$N$6,LASK!$N$9,LASK!$N$12,LASK!$N$15,LASK!$N$18,LASK!$N$21,LASK!$N$24,LASK!$N$27,LASK!$N$30,LASK!$N$33,LASK!$N$36,LASK!$N$39,LASK!$N$42,LASK!$N$45,LASK!$N$48,LASK!$N$51,LASK!$N$54,LASK!$N$57,LASK!$N$60,LASK!$N$63,LASK!$N$66,LASK!$N$69,LASK!$N$72)</c:f>
              <c:numCache>
                <c:formatCode>0.00</c:formatCode>
                <c:ptCount val="24"/>
                <c:pt idx="0">
                  <c:v>20.545454545454547</c:v>
                </c:pt>
                <c:pt idx="1">
                  <c:v>20.818181818181817</c:v>
                </c:pt>
                <c:pt idx="2">
                  <c:v>20.545454545454547</c:v>
                </c:pt>
                <c:pt idx="3">
                  <c:v>20.09090909090909</c:v>
                </c:pt>
                <c:pt idx="4">
                  <c:v>20.363636363636363</c:v>
                </c:pt>
                <c:pt idx="5">
                  <c:v>20.454545454545453</c:v>
                </c:pt>
                <c:pt idx="6">
                  <c:v>20.545454545454547</c:v>
                </c:pt>
                <c:pt idx="7">
                  <c:v>20.545454545454547</c:v>
                </c:pt>
                <c:pt idx="8">
                  <c:v>20.727272727272727</c:v>
                </c:pt>
                <c:pt idx="9">
                  <c:v>20.727272727272727</c:v>
                </c:pt>
                <c:pt idx="10">
                  <c:v>20.545454545454547</c:v>
                </c:pt>
                <c:pt idx="11">
                  <c:v>20.545454545454547</c:v>
                </c:pt>
                <c:pt idx="12">
                  <c:v>20.272727272727273</c:v>
                </c:pt>
                <c:pt idx="13">
                  <c:v>20.363636363636363</c:v>
                </c:pt>
                <c:pt idx="14">
                  <c:v>20.636363636363637</c:v>
                </c:pt>
                <c:pt idx="15">
                  <c:v>20.181818181818183</c:v>
                </c:pt>
                <c:pt idx="16">
                  <c:v>19.636363636363637</c:v>
                </c:pt>
                <c:pt idx="17">
                  <c:v>19.181818181818183</c:v>
                </c:pt>
                <c:pt idx="18">
                  <c:v>19.181818181818183</c:v>
                </c:pt>
                <c:pt idx="19">
                  <c:v>20.272727272727273</c:v>
                </c:pt>
                <c:pt idx="20">
                  <c:v>20.363636363636363</c:v>
                </c:pt>
                <c:pt idx="21">
                  <c:v>19.727272727272727</c:v>
                </c:pt>
                <c:pt idx="22">
                  <c:v>19.818181818181817</c:v>
                </c:pt>
                <c:pt idx="23">
                  <c:v>19.272727272727273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C-430E-B929-86D6C6A3C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739968"/>
        <c:axId val="2063741408"/>
      </c:lineChart>
      <c:catAx>
        <c:axId val="2063739968"/>
        <c:scaling>
          <c:orientation val="minMax"/>
        </c:scaling>
        <c:delete val="1"/>
        <c:axPos val="b"/>
        <c:majorTickMark val="none"/>
        <c:minorTickMark val="none"/>
        <c:tickLblPos val="nextTo"/>
        <c:crossAx val="2063741408"/>
        <c:crosses val="autoZero"/>
        <c:auto val="1"/>
        <c:lblAlgn val="ctr"/>
        <c:lblOffset val="100"/>
        <c:noMultiLvlLbl val="0"/>
      </c:catAx>
      <c:valAx>
        <c:axId val="2063741408"/>
        <c:scaling>
          <c:orientation val="minMax"/>
          <c:max val="22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637399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Verlauf Altersdurchschnitt Altach Juniors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('Altach Juniors'!$N$3,'Altach Juniors'!$N$6,'Altach Juniors'!$N$9,'Altach Juniors'!$N$12,'Altach Juniors'!$N$15,'Altach Juniors'!$N$18,'Altach Juniors'!$N$21,'Altach Juniors'!$N$24,'Altach Juniors'!$N$27,'Altach Juniors'!$N$30,'Altach Juniors'!$N$33,'Altach Juniors'!$N$36,'Altach Juniors'!$N$39,'Altach Juniors'!$N$42,'Altach Juniors'!$N$45,'Altach Juniors'!$N$48,'Altach Juniors'!$N$51,'Altach Juniors'!$N$54,'Altach Juniors'!$N$57)</c:f>
              <c:numCache>
                <c:formatCode>0.00</c:formatCode>
                <c:ptCount val="19"/>
                <c:pt idx="0">
                  <c:v>19.181818181818183</c:v>
                </c:pt>
                <c:pt idx="1">
                  <c:v>19.727272727272727</c:v>
                </c:pt>
                <c:pt idx="2">
                  <c:v>19.363636363636363</c:v>
                </c:pt>
                <c:pt idx="3">
                  <c:v>19.727272727272727</c:v>
                </c:pt>
                <c:pt idx="4">
                  <c:v>19.818181818181817</c:v>
                </c:pt>
                <c:pt idx="5">
                  <c:v>19.545454545454547</c:v>
                </c:pt>
                <c:pt idx="6">
                  <c:v>20.454545454545453</c:v>
                </c:pt>
                <c:pt idx="7">
                  <c:v>19.545454545454547</c:v>
                </c:pt>
                <c:pt idx="8">
                  <c:v>19.545454545454547</c:v>
                </c:pt>
                <c:pt idx="9">
                  <c:v>18.636363636363637</c:v>
                </c:pt>
                <c:pt idx="10">
                  <c:v>20.272727272727273</c:v>
                </c:pt>
                <c:pt idx="11">
                  <c:v>19.90909090909091</c:v>
                </c:pt>
                <c:pt idx="12">
                  <c:v>19.545454545454547</c:v>
                </c:pt>
                <c:pt idx="13">
                  <c:v>19</c:v>
                </c:pt>
                <c:pt idx="14">
                  <c:v>20.363636363636363</c:v>
                </c:pt>
                <c:pt idx="15">
                  <c:v>20.272727272727273</c:v>
                </c:pt>
                <c:pt idx="16">
                  <c:v>19.818181818181817</c:v>
                </c:pt>
                <c:pt idx="17">
                  <c:v>20.181818181818183</c:v>
                </c:pt>
                <c:pt idx="18">
                  <c:v>19.818181818181817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3-428B-BE2C-C9E0A8917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404784"/>
        <c:axId val="2109398816"/>
      </c:lineChart>
      <c:catAx>
        <c:axId val="477404784"/>
        <c:scaling>
          <c:orientation val="minMax"/>
        </c:scaling>
        <c:delete val="1"/>
        <c:axPos val="b"/>
        <c:majorTickMark val="none"/>
        <c:minorTickMark val="none"/>
        <c:tickLblPos val="nextTo"/>
        <c:crossAx val="2109398816"/>
        <c:crosses val="autoZero"/>
        <c:auto val="1"/>
        <c:lblAlgn val="ctr"/>
        <c:lblOffset val="100"/>
        <c:noMultiLvlLbl val="0"/>
      </c:catAx>
      <c:valAx>
        <c:axId val="2109398816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74047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Verlauf Altersdurchschnitt Young Violets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('Young Violets'!$N$3,'Young Violets'!$N$6,'Young Violets'!$N$9,'Young Violets'!$N$12,'Young Violets'!$N$15,'Young Violets'!$N$18,'Young Violets'!$N$21,'Young Violets'!$N$24,'Young Violets'!$N$27,'Young Violets'!$N$30,'Young Violets'!$N$33,'Young Violets'!$N$36,'Young Violets'!$N$39,'Young Violets'!$N$42,'Young Violets'!$N$45,'Young Violets'!$N$48,'Young Violets'!$N$51,'Young Violets'!$N$54,'Young Violets'!$N$57,'Young Violets'!$N$60)</c:f>
              <c:numCache>
                <c:formatCode>0.00</c:formatCode>
                <c:ptCount val="20"/>
                <c:pt idx="0">
                  <c:v>20.818181818181817</c:v>
                </c:pt>
                <c:pt idx="1">
                  <c:v>20.90909090909091</c:v>
                </c:pt>
                <c:pt idx="2">
                  <c:v>21.09090909090909</c:v>
                </c:pt>
                <c:pt idx="3">
                  <c:v>21.181818181818183</c:v>
                </c:pt>
                <c:pt idx="4">
                  <c:v>21.363636363636363</c:v>
                </c:pt>
                <c:pt idx="5">
                  <c:v>21.272727272727273</c:v>
                </c:pt>
                <c:pt idx="6">
                  <c:v>21.363636363636363</c:v>
                </c:pt>
                <c:pt idx="7">
                  <c:v>20.90909090909091</c:v>
                </c:pt>
                <c:pt idx="8">
                  <c:v>19.90909090909091</c:v>
                </c:pt>
                <c:pt idx="9">
                  <c:v>19.636363636363637</c:v>
                </c:pt>
                <c:pt idx="10">
                  <c:v>21.454545454545453</c:v>
                </c:pt>
                <c:pt idx="11">
                  <c:v>21.454545454545453</c:v>
                </c:pt>
                <c:pt idx="12">
                  <c:v>21.545454545454547</c:v>
                </c:pt>
                <c:pt idx="13">
                  <c:v>21.636363636363637</c:v>
                </c:pt>
                <c:pt idx="14">
                  <c:v>21.545454545454547</c:v>
                </c:pt>
                <c:pt idx="15">
                  <c:v>21.545454545454547</c:v>
                </c:pt>
                <c:pt idx="16">
                  <c:v>21.09090909090909</c:v>
                </c:pt>
                <c:pt idx="17">
                  <c:v>21.545454545454547</c:v>
                </c:pt>
                <c:pt idx="18">
                  <c:v>22</c:v>
                </c:pt>
                <c:pt idx="1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5-4856-8B62-4BFBB304A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874352"/>
        <c:axId val="1994872432"/>
      </c:lineChart>
      <c:catAx>
        <c:axId val="1994874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994872432"/>
        <c:crosses val="autoZero"/>
        <c:auto val="1"/>
        <c:lblAlgn val="ctr"/>
        <c:lblOffset val="100"/>
        <c:noMultiLvlLbl val="0"/>
      </c:catAx>
      <c:valAx>
        <c:axId val="1994872432"/>
        <c:scaling>
          <c:orientation val="minMax"/>
          <c:max val="22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48743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Verlauf Altersdurchschnitt WAC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(WAC!$N$3,WAC!$N$6,WAC!$N$9,WAC!$N$12,WAC!$N$15,WAC!$N$18,WAC!$N$21,WAC!$N$24,WAC!$N$27,WAC!$N$30,WAC!$N$33,WAC!$N$36,WAC!$N$39,WAC!$N$42,WAC!$N$45,WAC!$N$48,WAC!$N$51,WAC!$N$54,WAC!$N$57,WAC!$N$60,WAC!$N$63,WAC!$N$66,WAC!$N$69)</c:f>
              <c:numCache>
                <c:formatCode>0.00</c:formatCode>
                <c:ptCount val="23"/>
                <c:pt idx="0">
                  <c:v>21.272727272727273</c:v>
                </c:pt>
                <c:pt idx="1">
                  <c:v>21.545454545454547</c:v>
                </c:pt>
                <c:pt idx="2">
                  <c:v>21.272727272727273</c:v>
                </c:pt>
                <c:pt idx="3">
                  <c:v>21.181818181818183</c:v>
                </c:pt>
                <c:pt idx="4">
                  <c:v>21</c:v>
                </c:pt>
                <c:pt idx="5">
                  <c:v>20.363636363636363</c:v>
                </c:pt>
                <c:pt idx="6">
                  <c:v>20.454545454545453</c:v>
                </c:pt>
                <c:pt idx="7">
                  <c:v>20.727272727272727</c:v>
                </c:pt>
                <c:pt idx="8">
                  <c:v>21</c:v>
                </c:pt>
                <c:pt idx="9">
                  <c:v>20.636363636363637</c:v>
                </c:pt>
                <c:pt idx="10">
                  <c:v>21.09090909090909</c:v>
                </c:pt>
                <c:pt idx="11">
                  <c:v>20.636363636363637</c:v>
                </c:pt>
                <c:pt idx="12">
                  <c:v>20.727272727272727</c:v>
                </c:pt>
                <c:pt idx="13">
                  <c:v>20.90909090909091</c:v>
                </c:pt>
                <c:pt idx="14">
                  <c:v>21.09090909090909</c:v>
                </c:pt>
                <c:pt idx="15">
                  <c:v>21.272727272727273</c:v>
                </c:pt>
                <c:pt idx="16">
                  <c:v>20.636363636363637</c:v>
                </c:pt>
                <c:pt idx="17">
                  <c:v>21.181818181818183</c:v>
                </c:pt>
                <c:pt idx="18">
                  <c:v>21.454545454545453</c:v>
                </c:pt>
                <c:pt idx="19">
                  <c:v>21.181818181818183</c:v>
                </c:pt>
                <c:pt idx="20">
                  <c:v>21.09090909090909</c:v>
                </c:pt>
                <c:pt idx="21">
                  <c:v>21.454545454545453</c:v>
                </c:pt>
                <c:pt idx="2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C-4784-A7FA-0A1F2B4B7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910400"/>
        <c:axId val="476907520"/>
      </c:lineChart>
      <c:catAx>
        <c:axId val="476910400"/>
        <c:scaling>
          <c:orientation val="minMax"/>
        </c:scaling>
        <c:delete val="1"/>
        <c:axPos val="b"/>
        <c:majorTickMark val="none"/>
        <c:minorTickMark val="none"/>
        <c:tickLblPos val="nextTo"/>
        <c:crossAx val="476907520"/>
        <c:crosses val="autoZero"/>
        <c:auto val="1"/>
        <c:lblAlgn val="ctr"/>
        <c:lblOffset val="100"/>
        <c:noMultiLvlLbl val="0"/>
      </c:catAx>
      <c:valAx>
        <c:axId val="476907520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69104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Verlauf Altersdurchschnitt Rapid 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232341474413273E-2"/>
          <c:y val="0.13949930458970794"/>
          <c:w val="0.87129396325459318"/>
          <c:h val="0.777206393328700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(Rapid!$N$3:$N$57,Rapid!$N$60,Rapid!$N$63,Rapid!$N$66,Rapid!$N$69,Rapid!$N$72,Rapid!$N$75)</c:f>
              <c:numCache>
                <c:formatCode>0.00</c:formatCode>
                <c:ptCount val="61"/>
                <c:pt idx="0">
                  <c:v>20</c:v>
                </c:pt>
                <c:pt idx="3">
                  <c:v>20.454545454545453</c:v>
                </c:pt>
                <c:pt idx="6">
                  <c:v>20.454545454545453</c:v>
                </c:pt>
                <c:pt idx="9">
                  <c:v>20.272727272727273</c:v>
                </c:pt>
                <c:pt idx="12">
                  <c:v>20.272727272727273</c:v>
                </c:pt>
                <c:pt idx="15">
                  <c:v>20.363636363636363</c:v>
                </c:pt>
                <c:pt idx="18">
                  <c:v>19.90909090909091</c:v>
                </c:pt>
                <c:pt idx="21">
                  <c:v>20</c:v>
                </c:pt>
                <c:pt idx="24">
                  <c:v>20.09090909090909</c:v>
                </c:pt>
                <c:pt idx="27">
                  <c:v>19.818181818181817</c:v>
                </c:pt>
                <c:pt idx="30">
                  <c:v>19.818181818181817</c:v>
                </c:pt>
                <c:pt idx="33">
                  <c:v>19.636363636363637</c:v>
                </c:pt>
                <c:pt idx="36">
                  <c:v>19.454545454545453</c:v>
                </c:pt>
                <c:pt idx="39">
                  <c:v>20</c:v>
                </c:pt>
                <c:pt idx="42">
                  <c:v>19.727272727272727</c:v>
                </c:pt>
                <c:pt idx="45">
                  <c:v>19.636363636363637</c:v>
                </c:pt>
                <c:pt idx="48">
                  <c:v>19.363636363636363</c:v>
                </c:pt>
                <c:pt idx="51">
                  <c:v>19.09090909090909</c:v>
                </c:pt>
                <c:pt idx="54">
                  <c:v>18.818181818181817</c:v>
                </c:pt>
                <c:pt idx="55">
                  <c:v>18.818181818181817</c:v>
                </c:pt>
                <c:pt idx="56">
                  <c:v>19.272727272727273</c:v>
                </c:pt>
                <c:pt idx="57">
                  <c:v>19.363636363636363</c:v>
                </c:pt>
                <c:pt idx="58">
                  <c:v>19.09090909090909</c:v>
                </c:pt>
                <c:pt idx="59">
                  <c:v>19.545454545454547</c:v>
                </c:pt>
                <c:pt idx="60">
                  <c:v>19.545454545454547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6-42CD-9A87-195CB1E25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976384"/>
        <c:axId val="2116977344"/>
      </c:lineChart>
      <c:catAx>
        <c:axId val="2116976384"/>
        <c:scaling>
          <c:orientation val="minMax"/>
        </c:scaling>
        <c:delete val="1"/>
        <c:axPos val="b"/>
        <c:majorTickMark val="none"/>
        <c:minorTickMark val="none"/>
        <c:tickLblPos val="nextTo"/>
        <c:crossAx val="2116977344"/>
        <c:crosses val="autoZero"/>
        <c:auto val="1"/>
        <c:lblAlgn val="ctr"/>
        <c:lblOffset val="100"/>
        <c:noMultiLvlLbl val="0"/>
      </c:catAx>
      <c:valAx>
        <c:axId val="2116977344"/>
        <c:scaling>
          <c:orientation val="minMax"/>
          <c:max val="22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9763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Verlauf Altersdurchschnitt Liefering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(Liefering!$N$3:$N$57,Liefering!$N$60,Liefering!$N$63,Liefering!$N$66,Liefering!$N$69,Liefering!$N$72)</c:f>
              <c:numCache>
                <c:formatCode>General</c:formatCode>
                <c:ptCount val="60"/>
                <c:pt idx="0" formatCode="0.00">
                  <c:v>19.454545454545453</c:v>
                </c:pt>
                <c:pt idx="3" formatCode="0.00">
                  <c:v>19.636363636363637</c:v>
                </c:pt>
                <c:pt idx="6" formatCode="0.00">
                  <c:v>19.727272727272727</c:v>
                </c:pt>
                <c:pt idx="9" formatCode="0.00">
                  <c:v>19.636363636363637</c:v>
                </c:pt>
                <c:pt idx="12" formatCode="0.00">
                  <c:v>19.636363636363637</c:v>
                </c:pt>
                <c:pt idx="15" formatCode="0.00">
                  <c:v>19.636363636363637</c:v>
                </c:pt>
                <c:pt idx="18" formatCode="0.00">
                  <c:v>19.545454545454547</c:v>
                </c:pt>
                <c:pt idx="21" formatCode="0.00">
                  <c:v>19.636363636363637</c:v>
                </c:pt>
                <c:pt idx="24" formatCode="0.00">
                  <c:v>19.545454545454547</c:v>
                </c:pt>
                <c:pt idx="27" formatCode="0.00">
                  <c:v>19.727272727272727</c:v>
                </c:pt>
                <c:pt idx="30" formatCode="0.00">
                  <c:v>19.545454545454547</c:v>
                </c:pt>
                <c:pt idx="33" formatCode="0.00">
                  <c:v>19.636363636363637</c:v>
                </c:pt>
                <c:pt idx="36" formatCode="0.00">
                  <c:v>19.727272727272727</c:v>
                </c:pt>
                <c:pt idx="39" formatCode="0.00">
                  <c:v>19.454545454545453</c:v>
                </c:pt>
                <c:pt idx="42" formatCode="0.00">
                  <c:v>19.818181818181817</c:v>
                </c:pt>
                <c:pt idx="45" formatCode="0.00">
                  <c:v>19.727272727272727</c:v>
                </c:pt>
                <c:pt idx="48" formatCode="0.00">
                  <c:v>19.636363636363637</c:v>
                </c:pt>
                <c:pt idx="51" formatCode="0.00">
                  <c:v>19.363636363636363</c:v>
                </c:pt>
                <c:pt idx="54" formatCode="0.00">
                  <c:v>19.636363636363637</c:v>
                </c:pt>
                <c:pt idx="55" formatCode="0.00">
                  <c:v>19.727272727272727</c:v>
                </c:pt>
                <c:pt idx="56" formatCode="0.00">
                  <c:v>19.727272727272727</c:v>
                </c:pt>
                <c:pt idx="57" formatCode="0.00">
                  <c:v>19.545454545454547</c:v>
                </c:pt>
                <c:pt idx="58" formatCode="0.00">
                  <c:v>19.727272727272727</c:v>
                </c:pt>
                <c:pt idx="59" formatCode="0.00">
                  <c:v>19.454545454545453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1-44FB-9866-8D9D02C9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812928"/>
        <c:axId val="477611184"/>
      </c:lineChart>
      <c:catAx>
        <c:axId val="2117812928"/>
        <c:scaling>
          <c:orientation val="minMax"/>
        </c:scaling>
        <c:delete val="1"/>
        <c:axPos val="b"/>
        <c:majorTickMark val="none"/>
        <c:minorTickMark val="none"/>
        <c:tickLblPos val="nextTo"/>
        <c:crossAx val="477611184"/>
        <c:crosses val="autoZero"/>
        <c:auto val="1"/>
        <c:lblAlgn val="ctr"/>
        <c:lblOffset val="100"/>
        <c:noMultiLvlLbl val="0"/>
      </c:catAx>
      <c:valAx>
        <c:axId val="477611184"/>
        <c:scaling>
          <c:orientation val="minMax"/>
          <c:max val="22"/>
          <c:min val="1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78129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Verlauf Altersdurchschnitt</a:t>
            </a:r>
            <a:r>
              <a:rPr lang="de-DE" baseline="0"/>
              <a:t> Sturm II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(Sturm!$N$3:$N$57,Sturm!$N$60,Sturm!$N$63,Sturm!$N$66,Sturm!$N$69,Sturm!$N$72,Sturm!$N$75,Sturm!$N$78)</c:f>
              <c:numCache>
                <c:formatCode>General</c:formatCode>
                <c:ptCount val="62"/>
                <c:pt idx="0" formatCode="0.00">
                  <c:v>20.272727272727273</c:v>
                </c:pt>
                <c:pt idx="3" formatCode="0.00">
                  <c:v>20.545454545454547</c:v>
                </c:pt>
                <c:pt idx="6" formatCode="0.00">
                  <c:v>20.454545454545453</c:v>
                </c:pt>
                <c:pt idx="9" formatCode="0.00">
                  <c:v>20.545454545454547</c:v>
                </c:pt>
                <c:pt idx="12" formatCode="0.00">
                  <c:v>20.181818181818183</c:v>
                </c:pt>
                <c:pt idx="15" formatCode="0.00">
                  <c:v>20.363636363636363</c:v>
                </c:pt>
                <c:pt idx="18" formatCode="0.00">
                  <c:v>21.363636363636363</c:v>
                </c:pt>
                <c:pt idx="21" formatCode="0.00">
                  <c:v>21</c:v>
                </c:pt>
                <c:pt idx="24" formatCode="0.00">
                  <c:v>21.727272727272727</c:v>
                </c:pt>
                <c:pt idx="27" formatCode="0.00">
                  <c:v>21.09090909090909</c:v>
                </c:pt>
                <c:pt idx="30" formatCode="0.00">
                  <c:v>21.09090909090909</c:v>
                </c:pt>
                <c:pt idx="33" formatCode="0.00">
                  <c:v>21.09090909090909</c:v>
                </c:pt>
                <c:pt idx="36" formatCode="0.00">
                  <c:v>21.272727272727273</c:v>
                </c:pt>
                <c:pt idx="39" formatCode="0.00">
                  <c:v>21.818181818181817</c:v>
                </c:pt>
                <c:pt idx="42" formatCode="0.00">
                  <c:v>20.727272727272727</c:v>
                </c:pt>
                <c:pt idx="45" formatCode="0.00">
                  <c:v>21.09090909090909</c:v>
                </c:pt>
                <c:pt idx="48" formatCode="0.00">
                  <c:v>20.727272727272727</c:v>
                </c:pt>
                <c:pt idx="51" formatCode="0.00">
                  <c:v>20.818181818181817</c:v>
                </c:pt>
                <c:pt idx="54" formatCode="0.00">
                  <c:v>21</c:v>
                </c:pt>
                <c:pt idx="55" formatCode="0.00">
                  <c:v>20.818181818181817</c:v>
                </c:pt>
                <c:pt idx="56" formatCode="0.00">
                  <c:v>21</c:v>
                </c:pt>
                <c:pt idx="57" formatCode="0.00">
                  <c:v>20.90909090909091</c:v>
                </c:pt>
                <c:pt idx="58" formatCode="0.00">
                  <c:v>21.181818181818183</c:v>
                </c:pt>
                <c:pt idx="59" formatCode="0.00">
                  <c:v>20.363636363636363</c:v>
                </c:pt>
                <c:pt idx="60" formatCode="0.00">
                  <c:v>20.818181818181817</c:v>
                </c:pt>
                <c:pt idx="61" formatCode="0.00">
                  <c:v>20.545454545454547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45-43D2-BA9D-16455E6F4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875312"/>
        <c:axId val="381445744"/>
      </c:lineChart>
      <c:catAx>
        <c:axId val="1994875312"/>
        <c:scaling>
          <c:orientation val="minMax"/>
        </c:scaling>
        <c:delete val="1"/>
        <c:axPos val="b"/>
        <c:majorTickMark val="none"/>
        <c:minorTickMark val="none"/>
        <c:tickLblPos val="nextTo"/>
        <c:crossAx val="381445744"/>
        <c:crosses val="autoZero"/>
        <c:auto val="1"/>
        <c:lblAlgn val="ctr"/>
        <c:lblOffset val="100"/>
        <c:noMultiLvlLbl val="0"/>
      </c:catAx>
      <c:valAx>
        <c:axId val="381445744"/>
        <c:scaling>
          <c:orientation val="minMax"/>
          <c:max val="22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48753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24766</xdr:colOff>
      <xdr:row>3</xdr:row>
      <xdr:rowOff>179070</xdr:rowOff>
    </xdr:from>
    <xdr:to>
      <xdr:col>6</xdr:col>
      <xdr:colOff>769620</xdr:colOff>
      <xdr:row>14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AE601E8-DAA8-4D21-B70E-DF7D80364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2222077</xdr:colOff>
      <xdr:row>26</xdr:row>
      <xdr:rowOff>9313</xdr:rowOff>
    </xdr:from>
    <xdr:to>
      <xdr:col>7</xdr:col>
      <xdr:colOff>0</xdr:colOff>
      <xdr:row>35</xdr:row>
      <xdr:rowOff>169545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8EDAD5A-D6A8-4321-B042-503E73DD9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</xdr:row>
      <xdr:rowOff>24765</xdr:rowOff>
    </xdr:from>
    <xdr:to>
      <xdr:col>12</xdr:col>
      <xdr:colOff>777240</xdr:colOff>
      <xdr:row>14</xdr:row>
      <xdr:rowOff>9525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584D5ABB-AB48-4363-A89F-D23DB6388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1904</xdr:colOff>
      <xdr:row>14</xdr:row>
      <xdr:rowOff>171451</xdr:rowOff>
    </xdr:from>
    <xdr:to>
      <xdr:col>13</xdr:col>
      <xdr:colOff>3809</xdr:colOff>
      <xdr:row>24</xdr:row>
      <xdr:rowOff>171450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3D968230-4E24-4B6C-B60A-303ACC5A8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7619</xdr:colOff>
      <xdr:row>14</xdr:row>
      <xdr:rowOff>173356</xdr:rowOff>
    </xdr:from>
    <xdr:to>
      <xdr:col>6</xdr:col>
      <xdr:colOff>771524</xdr:colOff>
      <xdr:row>25</xdr:row>
      <xdr:rowOff>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4D7B3D98-CCB7-43FA-A378-6AB9295EF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9526</xdr:colOff>
      <xdr:row>15</xdr:row>
      <xdr:rowOff>1</xdr:rowOff>
    </xdr:from>
    <xdr:to>
      <xdr:col>19</xdr:col>
      <xdr:colOff>1905</xdr:colOff>
      <xdr:row>25</xdr:row>
      <xdr:rowOff>1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E3BE02CE-27FD-4C13-BA44-D753D18CC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7620</xdr:colOff>
      <xdr:row>26</xdr:row>
      <xdr:rowOff>9524</xdr:rowOff>
    </xdr:from>
    <xdr:to>
      <xdr:col>12</xdr:col>
      <xdr:colOff>779145</xdr:colOff>
      <xdr:row>36</xdr:row>
      <xdr:rowOff>9524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D22BEC3-091C-4A2C-8C26-19A66CCEF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9526</xdr:colOff>
      <xdr:row>4</xdr:row>
      <xdr:rowOff>15240</xdr:rowOff>
    </xdr:from>
    <xdr:to>
      <xdr:col>19</xdr:col>
      <xdr:colOff>5715</xdr:colOff>
      <xdr:row>14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3A8F69F-7495-48EC-9CBD-841BD88A5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752475</xdr:colOff>
      <xdr:row>1</xdr:row>
      <xdr:rowOff>24765</xdr:rowOff>
    </xdr:from>
    <xdr:to>
      <xdr:col>13</xdr:col>
      <xdr:colOff>19051</xdr:colOff>
      <xdr:row>3</xdr:row>
      <xdr:rowOff>9525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54EEA7C4-D595-6E3A-2798-B1C34DC689EC}"/>
            </a:ext>
          </a:extLst>
        </xdr:cNvPr>
        <xdr:cNvSpPr txBox="1"/>
      </xdr:nvSpPr>
      <xdr:spPr>
        <a:xfrm>
          <a:off x="4229100" y="205740"/>
          <a:ext cx="6724651" cy="346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de-DE" sz="2400" b="1" u="sng"/>
            <a:t>Durchschnittsalter Amateur-Teams bis Regionalliga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0.0457</cdr:x>
      <cdr:y>0.11354</cdr:y>
    </cdr:from>
    <cdr:to>
      <cdr:x>0.19154</cdr:x>
      <cdr:y>0.28542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3B54AC51-E967-BAA8-66DC-36323023090B}"/>
            </a:ext>
          </a:extLst>
        </cdr:cNvPr>
        <cdr:cNvSpPr txBox="1"/>
      </cdr:nvSpPr>
      <cdr:spPr>
        <a:xfrm xmlns:a="http://schemas.openxmlformats.org/drawingml/2006/main">
          <a:off x="179070" y="207645"/>
          <a:ext cx="571500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  <cdr:relSizeAnchor xmlns:cdr="http://schemas.openxmlformats.org/drawingml/2006/chartDrawing">
    <cdr:from>
      <cdr:x>0.04238</cdr:x>
      <cdr:y>0.09812</cdr:y>
    </cdr:from>
    <cdr:to>
      <cdr:x>0.17389</cdr:x>
      <cdr:y>0.24426</cdr:y>
    </cdr:to>
    <cdr:sp macro="" textlink="">
      <cdr:nvSpPr>
        <cdr:cNvPr id="3" name="Textfeld 2">
          <a:extLst xmlns:a="http://schemas.openxmlformats.org/drawingml/2006/main">
            <a:ext uri="{FF2B5EF4-FFF2-40B4-BE49-F238E27FC236}">
              <a16:creationId xmlns:a16="http://schemas.microsoft.com/office/drawing/2014/main" id="{D537F287-BF35-144D-9754-B427F9DFD82C}"/>
            </a:ext>
          </a:extLst>
        </cdr:cNvPr>
        <cdr:cNvSpPr txBox="1"/>
      </cdr:nvSpPr>
      <cdr:spPr>
        <a:xfrm xmlns:a="http://schemas.openxmlformats.org/drawingml/2006/main">
          <a:off x="165734" y="179070"/>
          <a:ext cx="5143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321945</xdr:colOff>
      <xdr:row>0</xdr:row>
      <xdr:rowOff>160972</xdr:rowOff>
    </xdr:from>
    <xdr:to>
      <xdr:col>20</xdr:col>
      <xdr:colOff>154305</xdr:colOff>
      <xdr:row>16</xdr:row>
      <xdr:rowOff>8572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126E5CE-7D40-7C06-3BBE-AC90113D2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706755</xdr:colOff>
      <xdr:row>1</xdr:row>
      <xdr:rowOff>37147</xdr:rowOff>
    </xdr:from>
    <xdr:to>
      <xdr:col>20</xdr:col>
      <xdr:colOff>531495</xdr:colOff>
      <xdr:row>16</xdr:row>
      <xdr:rowOff>65722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0E57925-A3E0-CD4D-36D3-237EEC0A5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85725</xdr:colOff>
      <xdr:row>0</xdr:row>
      <xdr:rowOff>180022</xdr:rowOff>
    </xdr:from>
    <xdr:to>
      <xdr:col>20</xdr:col>
      <xdr:colOff>701040</xdr:colOff>
      <xdr:row>16</xdr:row>
      <xdr:rowOff>27622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BA6BA92-E670-A54D-0914-E0EB01B2A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85725</xdr:colOff>
      <xdr:row>0</xdr:row>
      <xdr:rowOff>180022</xdr:rowOff>
    </xdr:from>
    <xdr:to>
      <xdr:col>20</xdr:col>
      <xdr:colOff>701040</xdr:colOff>
      <xdr:row>16</xdr:row>
      <xdr:rowOff>27622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068572-C3BF-6299-7B38-F327E2AE0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27622</xdr:rowOff>
    </xdr:from>
    <xdr:to>
      <xdr:col>20</xdr:col>
      <xdr:colOff>621030</xdr:colOff>
      <xdr:row>16</xdr:row>
      <xdr:rowOff>56197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28FD28C-7AFA-7455-1A9D-C894C2F07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779145</xdr:colOff>
      <xdr:row>1</xdr:row>
      <xdr:rowOff>2857</xdr:rowOff>
    </xdr:from>
    <xdr:to>
      <xdr:col>20</xdr:col>
      <xdr:colOff>607695</xdr:colOff>
      <xdr:row>16</xdr:row>
      <xdr:rowOff>29527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A8D4C87-23EF-C3D9-C603-921054535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563880</xdr:colOff>
      <xdr:row>1</xdr:row>
      <xdr:rowOff>25717</xdr:rowOff>
    </xdr:from>
    <xdr:to>
      <xdr:col>20</xdr:col>
      <xdr:colOff>382905</xdr:colOff>
      <xdr:row>16</xdr:row>
      <xdr:rowOff>54292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5BFB294-6BE0-4218-E781-D7E55F33F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</xdr:colOff>
      <xdr:row>1</xdr:row>
      <xdr:rowOff>18097</xdr:rowOff>
    </xdr:from>
    <xdr:to>
      <xdr:col>20</xdr:col>
      <xdr:colOff>643890</xdr:colOff>
      <xdr:row>16</xdr:row>
      <xdr:rowOff>46672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BB0A13F-E167-EEE5-0FA1-6D2DF8E1B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4095-E1F2-47D7-96E1-2BBE5F9339F6}">
  <sheetPr>
    <pageSetUpPr fitToPage="1"/>
  </sheetPr>
  <dimension ref="A1:B13"/>
  <sheetViews>
    <sheetView tabSelected="1" zoomScaleNormal="100" workbookViewId="0">
      <selection activeCell="B21" sqref="B21"/>
    </sheetView>
  </sheetViews>
  <sheetFormatPr baseColWidth="10" defaultRowHeight="14.4" x14ac:dyDescent="0.3"/>
  <cols>
    <col min="1" max="1" width="12.77734375" bestFit="1" customWidth="1"/>
    <col min="2" max="2" width="32.44140625" bestFit="1" customWidth="1"/>
    <col min="8" max="8" width="5" customWidth="1"/>
    <col min="14" max="14" width="4.5546875" customWidth="1"/>
  </cols>
  <sheetData>
    <row r="1" spans="1:2" x14ac:dyDescent="0.3">
      <c r="A1" s="2" t="s">
        <v>71</v>
      </c>
      <c r="B1" s="2" t="s">
        <v>123</v>
      </c>
    </row>
    <row r="2" spans="1:2" x14ac:dyDescent="0.3">
      <c r="A2" s="4" t="s">
        <v>51</v>
      </c>
      <c r="B2" s="5">
        <f ca="1">Liefering!N1</f>
        <v>19.561128526645771</v>
      </c>
    </row>
    <row r="3" spans="1:2" x14ac:dyDescent="0.3">
      <c r="A3" s="4" t="s">
        <v>40</v>
      </c>
      <c r="B3" s="5">
        <f ca="1">'Altach Juniors'!N1</f>
        <v>19.690909090909095</v>
      </c>
    </row>
    <row r="4" spans="1:2" x14ac:dyDescent="0.3">
      <c r="A4" s="4" t="s">
        <v>49</v>
      </c>
      <c r="B4" s="5">
        <f ca="1">Rapid!N1</f>
        <v>19.70846394984326</v>
      </c>
    </row>
    <row r="5" spans="1:2" x14ac:dyDescent="0.3">
      <c r="A5" s="2" t="s">
        <v>33</v>
      </c>
      <c r="B5" s="3">
        <f ca="1">JWR!N1</f>
        <v>19.83164983164983</v>
      </c>
    </row>
    <row r="6" spans="1:2" x14ac:dyDescent="0.3">
      <c r="A6" s="4" t="s">
        <v>4</v>
      </c>
      <c r="B6" s="5">
        <f ca="1">LASK!N1</f>
        <v>20.144781144781145</v>
      </c>
    </row>
    <row r="7" spans="1:2" x14ac:dyDescent="0.3">
      <c r="A7" s="4" t="s">
        <v>50</v>
      </c>
      <c r="B7" s="5">
        <f ca="1">Sturm!N1</f>
        <v>20.806060606060608</v>
      </c>
    </row>
    <row r="8" spans="1:2" x14ac:dyDescent="0.3">
      <c r="A8" s="4" t="s">
        <v>16</v>
      </c>
      <c r="B8" s="5">
        <f ca="1">WAC!N1</f>
        <v>20.98951048951049</v>
      </c>
    </row>
    <row r="9" spans="1:2" x14ac:dyDescent="0.3">
      <c r="A9" s="4" t="s">
        <v>41</v>
      </c>
      <c r="B9" s="5">
        <f ca="1">'Young Violets'!N1</f>
        <v>21.169278996865202</v>
      </c>
    </row>
    <row r="11" spans="1:2" x14ac:dyDescent="0.3">
      <c r="B11" s="9"/>
    </row>
    <row r="13" spans="1:2" x14ac:dyDescent="0.3">
      <c r="A13" s="4"/>
      <c r="B13" s="4"/>
    </row>
  </sheetData>
  <autoFilter ref="A1:B1" xr:uid="{A43A4095-E1F2-47D7-96E1-2BBE5F9339F6}">
    <sortState xmlns:xlrd2="http://schemas.microsoft.com/office/spreadsheetml/2017/richdata2" ref="A2:B9">
      <sortCondition ref="B1"/>
    </sortState>
  </autoFilter>
  <sortState xmlns:xlrd2="http://schemas.microsoft.com/office/spreadsheetml/2017/richdata2" ref="A2:B9">
    <sortCondition ref="B2:B9"/>
  </sortState>
  <pageMargins left="0.7" right="0.7" top="0.78740157499999996" bottom="0.78740157499999996" header="0.3" footer="0.3"/>
  <pageSetup paperSize="9" scale="56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021B-B36B-4907-BAF3-C28A440CD06D}">
  <dimension ref="A1:AE35"/>
  <sheetViews>
    <sheetView workbookViewId="0">
      <pane xSplit="1" topLeftCell="O1" activePane="topRight" state="frozen"/>
      <selection pane="topRight" activeCell="S26" sqref="S26"/>
    </sheetView>
  </sheetViews>
  <sheetFormatPr baseColWidth="10" defaultRowHeight="14.4" x14ac:dyDescent="0.3"/>
  <cols>
    <col min="1" max="1" width="12.88671875" style="4" bestFit="1" customWidth="1"/>
    <col min="2" max="2" width="11.5546875" style="7" customWidth="1"/>
    <col min="3" max="22" width="11.5546875" style="7"/>
    <col min="23" max="16384" width="11.5546875" style="4"/>
  </cols>
  <sheetData>
    <row r="1" spans="1:31" x14ac:dyDescent="0.3">
      <c r="B1" s="7" t="s">
        <v>125</v>
      </c>
      <c r="C1" s="7" t="s">
        <v>126</v>
      </c>
      <c r="D1" s="7" t="s">
        <v>127</v>
      </c>
      <c r="E1" s="7" t="s">
        <v>128</v>
      </c>
      <c r="F1" s="7" t="s">
        <v>129</v>
      </c>
      <c r="G1" s="7" t="s">
        <v>130</v>
      </c>
      <c r="H1" s="7" t="s">
        <v>131</v>
      </c>
      <c r="I1" s="7" t="s">
        <v>132</v>
      </c>
      <c r="J1" s="7" t="s">
        <v>133</v>
      </c>
      <c r="K1" s="7" t="s">
        <v>134</v>
      </c>
      <c r="L1" s="7" t="s">
        <v>135</v>
      </c>
      <c r="M1" s="7" t="s">
        <v>136</v>
      </c>
      <c r="N1" s="7" t="s">
        <v>137</v>
      </c>
      <c r="O1" s="7" t="s">
        <v>138</v>
      </c>
      <c r="P1" s="7" t="s">
        <v>139</v>
      </c>
      <c r="Q1" s="7" t="s">
        <v>140</v>
      </c>
      <c r="R1" s="7" t="s">
        <v>141</v>
      </c>
      <c r="S1" s="7" t="s">
        <v>142</v>
      </c>
      <c r="T1" s="7" t="s">
        <v>143</v>
      </c>
      <c r="U1" s="7" t="s">
        <v>144</v>
      </c>
      <c r="V1" s="7" t="s">
        <v>145</v>
      </c>
      <c r="W1" s="7" t="s">
        <v>325</v>
      </c>
      <c r="X1" s="7" t="s">
        <v>326</v>
      </c>
      <c r="Y1" s="7" t="s">
        <v>327</v>
      </c>
      <c r="Z1" s="7" t="s">
        <v>328</v>
      </c>
      <c r="AA1" s="7" t="s">
        <v>329</v>
      </c>
      <c r="AB1" s="7" t="s">
        <v>342</v>
      </c>
      <c r="AC1" s="7" t="s">
        <v>339</v>
      </c>
      <c r="AD1" s="7" t="s">
        <v>340</v>
      </c>
      <c r="AE1" s="7" t="s">
        <v>341</v>
      </c>
    </row>
    <row r="2" spans="1:31" x14ac:dyDescent="0.3">
      <c r="A2" s="4" t="s">
        <v>33</v>
      </c>
      <c r="B2" s="8" cm="1">
        <f t="array" aca="1" ref="B2" ca="1">INDIRECT("JWR!N" &amp; (COLUMN()-1)*3)</f>
        <v>19.727272727272727</v>
      </c>
      <c r="C2" s="8" cm="1">
        <f t="array" aca="1" ref="C2" ca="1">INDIRECT("JWR!N" &amp; (COLUMN()-1)*3)</f>
        <v>18.727272727272727</v>
      </c>
      <c r="D2" s="8" cm="1">
        <f t="array" aca="1" ref="D2" ca="1">INDIRECT("JWR!N" &amp; (COLUMN()-1)*3)</f>
        <v>21.272727272727273</v>
      </c>
      <c r="E2" s="8" cm="1">
        <f t="array" aca="1" ref="E2" ca="1">INDIRECT("JWR!N" &amp; (COLUMN()-1)*3)</f>
        <v>20</v>
      </c>
      <c r="F2" s="8" cm="1">
        <f t="array" aca="1" ref="F2" ca="1">INDIRECT("JWR!N" &amp; (COLUMN()-1)*3)</f>
        <v>20.90909090909091</v>
      </c>
      <c r="G2" s="8" cm="1">
        <f t="array" aca="1" ref="G2" ca="1">INDIRECT("JWR!N" &amp; (COLUMN()-1)*3)</f>
        <v>19.09090909090909</v>
      </c>
      <c r="H2" s="8" cm="1">
        <f t="array" aca="1" ref="H2" ca="1">INDIRECT("JWR!N" &amp; (COLUMN()-1)*3)</f>
        <v>18.727272727272727</v>
      </c>
      <c r="I2" s="8" cm="1">
        <f t="array" aca="1" ref="I2" ca="1">INDIRECT("JWR!N" &amp; (COLUMN()-1)*3)</f>
        <v>19.727272727272727</v>
      </c>
      <c r="J2" s="8" cm="1">
        <f t="array" aca="1" ref="J2" ca="1">INDIRECT("JWR!N" &amp; (COLUMN()-1)*3)</f>
        <v>18.818181818181817</v>
      </c>
      <c r="K2" s="8" cm="1">
        <f t="array" aca="1" ref="K2" ca="1">INDIRECT("JWR!N" &amp; (COLUMN()-1)*3)</f>
        <v>19.727272727272727</v>
      </c>
      <c r="L2" s="8" cm="1">
        <f t="array" aca="1" ref="L2" ca="1">INDIRECT("JWR!N" &amp; (COLUMN()-1)*3)</f>
        <v>19.454545454545453</v>
      </c>
      <c r="M2" s="8" cm="1">
        <f t="array" aca="1" ref="M2" ca="1">INDIRECT("JWR!N" &amp; (COLUMN()-1)*3)</f>
        <v>19.545454545454547</v>
      </c>
      <c r="N2" s="8" cm="1">
        <f t="array" aca="1" ref="N2" ca="1">INDIRECT("JWR!N" &amp; (COLUMN()-1)*3)</f>
        <v>18.90909090909091</v>
      </c>
      <c r="O2" s="8" cm="1">
        <f t="array" aca="1" ref="O2" ca="1">INDIRECT("JWR!N" &amp; (COLUMN()-1)*3)</f>
        <v>19.636363636363637</v>
      </c>
      <c r="P2" s="8" cm="1">
        <f t="array" aca="1" ref="P2" ca="1">INDIRECT("JWR!N" &amp; (COLUMN()-1)*3)</f>
        <v>18.636363636363637</v>
      </c>
      <c r="Q2" s="8" cm="1">
        <f t="array" aca="1" ref="Q2" ca="1">INDIRECT("JWR!N" &amp; (COLUMN()-1)*3)</f>
        <v>19.545454545454547</v>
      </c>
      <c r="R2" s="8" cm="1">
        <f t="array" aca="1" ref="R2" ca="1">INDIRECT("JWR!N" &amp; (COLUMN()-1)*3)</f>
        <v>19.818181818181817</v>
      </c>
      <c r="S2" s="8" cm="1">
        <f t="array" aca="1" ref="S2" ca="1">INDIRECT("JWR!N" &amp; (COLUMN()-1)*3)</f>
        <v>20.363636363636363</v>
      </c>
      <c r="T2" s="8" cm="1">
        <f t="array" aca="1" ref="T2" ca="1">INDIRECT("JWR!N" &amp; (COLUMN()-1)*3)</f>
        <v>19.454545454545453</v>
      </c>
      <c r="U2" s="8" cm="1">
        <f t="array" aca="1" ref="U2" ca="1">INDIRECT("JWR!N" &amp; (COLUMN()-1)*3)</f>
        <v>22.09090909090909</v>
      </c>
      <c r="V2" s="8" cm="1">
        <f t="array" aca="1" ref="V2" ca="1">INDIRECT("JWR!N" &amp; (COLUMN()-1)*3)</f>
        <v>21.545454545454547</v>
      </c>
      <c r="W2" s="8" cm="1">
        <f t="array" aca="1" ref="W2" ca="1">INDIRECT("JWR!N" &amp; (COLUMN()-1)*3)</f>
        <v>23.09090909090909</v>
      </c>
      <c r="X2" s="8" cm="1">
        <f t="array" aca="1" ref="X2" ca="1">INDIRECT("JWR!N" &amp; (COLUMN()-1)*3)</f>
        <v>18.818181818181817</v>
      </c>
      <c r="Y2" s="8" cm="1">
        <f t="array" aca="1" ref="Y2" ca="1">INDIRECT("JWR!N" &amp; (COLUMN()-1)*3)</f>
        <v>19.818181818181817</v>
      </c>
      <c r="Z2" s="8" cm="1">
        <f t="array" aca="1" ref="Z2" ca="1">INDIRECT("JWR!N" &amp; (COLUMN()-1)*3)</f>
        <v>19.272727272727273</v>
      </c>
      <c r="AA2" s="8" cm="1">
        <f t="array" aca="1" ref="AA2" ca="1">INDIRECT("JWR!N" &amp; (COLUMN()-1)*3)</f>
        <v>19.727272727272727</v>
      </c>
      <c r="AB2" s="8" cm="1">
        <f t="array" aca="1" ref="AB2" ca="1">INDIRECT("JWR!N" &amp; (COLUMN()-1)*3)</f>
        <v>19</v>
      </c>
      <c r="AC2" s="8" cm="1">
        <f t="array" aca="1" ref="AC2" ca="1">INDIRECT("JWR!N" &amp; (COLUMN()-1)*3)</f>
        <v>0</v>
      </c>
      <c r="AD2" s="8" cm="1">
        <f t="array" aca="1" ref="AD2" ca="1">INDIRECT("JWR!N" &amp; (COLUMN()-1)*3)</f>
        <v>0</v>
      </c>
      <c r="AE2" s="8" cm="1">
        <f t="array" aca="1" ref="AE2" ca="1">INDIRECT("JWR!N" &amp; (COLUMN()-1)*3)</f>
        <v>0</v>
      </c>
    </row>
    <row r="3" spans="1:31" x14ac:dyDescent="0.3">
      <c r="A3" s="4" t="s">
        <v>4</v>
      </c>
      <c r="B3" s="8" cm="1">
        <f t="array" aca="1" ref="B3" ca="1">INDIRECT("LASK!N" &amp; (COLUMN()-1)*3)</f>
        <v>20.545454545454547</v>
      </c>
      <c r="C3" s="8" cm="1">
        <f t="array" aca="1" ref="C3" ca="1">INDIRECT("LASK!N" &amp; (COLUMN()-1)*3)</f>
        <v>20.818181818181817</v>
      </c>
      <c r="D3" s="8" cm="1">
        <f t="array" aca="1" ref="D3" ca="1">INDIRECT("LASK!N" &amp; (COLUMN()-1)*3)</f>
        <v>20.545454545454547</v>
      </c>
      <c r="E3" s="8" cm="1">
        <f t="array" aca="1" ref="E3" ca="1">INDIRECT("LASK!N" &amp; (COLUMN()-1)*3)</f>
        <v>20.09090909090909</v>
      </c>
      <c r="F3" s="8" cm="1">
        <f t="array" aca="1" ref="F3" ca="1">INDIRECT("LASK!N" &amp; (COLUMN()-1)*3)</f>
        <v>20.363636363636363</v>
      </c>
      <c r="G3" s="8" cm="1">
        <f t="array" aca="1" ref="G3" ca="1">INDIRECT("LASK!N" &amp; (COLUMN()-1)*3)</f>
        <v>20.454545454545453</v>
      </c>
      <c r="H3" s="8" cm="1">
        <f t="array" aca="1" ref="H3" ca="1">INDIRECT("LASK!N" &amp; (COLUMN()-1)*3)</f>
        <v>20.545454545454547</v>
      </c>
      <c r="I3" s="8" cm="1">
        <f t="array" aca="1" ref="I3" ca="1">INDIRECT("LASK!N" &amp; (COLUMN()-1)*3)</f>
        <v>20.545454545454547</v>
      </c>
      <c r="J3" s="8" cm="1">
        <f t="array" aca="1" ref="J3" ca="1">INDIRECT("LASK!N" &amp; (COLUMN()-1)*3)</f>
        <v>20.727272727272727</v>
      </c>
      <c r="K3" s="8" cm="1">
        <f t="array" aca="1" ref="K3" ca="1">INDIRECT("LASK!N" &amp; (COLUMN()-1)*3)</f>
        <v>20.727272727272727</v>
      </c>
      <c r="L3" s="8" cm="1">
        <f t="array" aca="1" ref="L3" ca="1">INDIRECT("LASK!N" &amp; (COLUMN()-1)*3)</f>
        <v>20.545454545454547</v>
      </c>
      <c r="M3" s="8" cm="1">
        <f t="array" aca="1" ref="M3" ca="1">INDIRECT("LASK!N" &amp; (COLUMN()-1)*3)</f>
        <v>20.545454545454547</v>
      </c>
      <c r="N3" s="8" cm="1">
        <f t="array" aca="1" ref="N3" ca="1">INDIRECT("LASK!N" &amp; (COLUMN()-1)*3)</f>
        <v>20.272727272727273</v>
      </c>
      <c r="O3" s="8" cm="1">
        <f t="array" aca="1" ref="O3" ca="1">INDIRECT("LASK!N" &amp; (COLUMN()-1)*3)</f>
        <v>20.363636363636363</v>
      </c>
      <c r="P3" s="8" cm="1">
        <f t="array" aca="1" ref="P3" ca="1">INDIRECT("LASK!N" &amp; (COLUMN()-1)*3)</f>
        <v>20.636363636363637</v>
      </c>
      <c r="Q3" s="8" cm="1">
        <f t="array" aca="1" ref="Q3" ca="1">INDIRECT("LASK!N" &amp; (COLUMN()-1)*3)</f>
        <v>20.181818181818183</v>
      </c>
      <c r="R3" s="8" cm="1">
        <f t="array" aca="1" ref="R3" ca="1">INDIRECT("LASK!N" &amp; (COLUMN()-1)*3)</f>
        <v>19.636363636363637</v>
      </c>
      <c r="S3" s="8" cm="1">
        <f t="array" aca="1" ref="S3" ca="1">INDIRECT("LASK!N" &amp; (COLUMN()-1)*3)</f>
        <v>19.181818181818183</v>
      </c>
      <c r="T3" s="8" cm="1">
        <f t="array" aca="1" ref="T3" ca="1">INDIRECT("LASK!N" &amp; (COLUMN()-1)*3)</f>
        <v>19.181818181818183</v>
      </c>
      <c r="U3" s="8" cm="1">
        <f t="array" aca="1" ref="U3" ca="1">INDIRECT("LASK!N" &amp; (COLUMN()-1)*3)</f>
        <v>20.272727272727273</v>
      </c>
      <c r="V3" s="8" cm="1">
        <f t="array" aca="1" ref="V3" ca="1">INDIRECT("LASK!N" &amp; (COLUMN()-1)*3)</f>
        <v>20.363636363636363</v>
      </c>
      <c r="W3" s="8" cm="1">
        <f t="array" aca="1" ref="W3" ca="1">INDIRECT("LASK!N" &amp; (COLUMN()-1)*3)</f>
        <v>19.727272727272727</v>
      </c>
      <c r="X3" s="8" cm="1">
        <f t="array" aca="1" ref="X3" ca="1">INDIRECT("LASK!N" &amp; (COLUMN()-1)*3)</f>
        <v>19.818181818181817</v>
      </c>
      <c r="Y3" s="8" cm="1">
        <f t="array" aca="1" ref="Y3" ca="1">INDIRECT("LASK!N" &amp; (COLUMN()-1)*3)</f>
        <v>19.272727272727273</v>
      </c>
      <c r="Z3" s="8" cm="1">
        <f t="array" aca="1" ref="Z3" ca="1">INDIRECT("LASK!N" &amp; (COLUMN()-1)*3)</f>
        <v>19.727272727272727</v>
      </c>
      <c r="AA3" s="8" cm="1">
        <f t="array" aca="1" ref="AA3" ca="1">INDIRECT("LASK!N" &amp; (COLUMN()-1)*3)</f>
        <v>19.181818181818183</v>
      </c>
      <c r="AB3" s="8" cm="1">
        <f t="array" aca="1" ref="AB3" ca="1">INDIRECT("LASK!N" &amp; (COLUMN()-1)*3)</f>
        <v>19.636363636363637</v>
      </c>
      <c r="AC3" s="8" cm="1">
        <f t="array" aca="1" ref="AC3" ca="1">INDIRECT("LASK!N" &amp; (COLUMN()-1)*3)</f>
        <v>0</v>
      </c>
      <c r="AD3" s="8" cm="1">
        <f t="array" aca="1" ref="AD3" ca="1">INDIRECT("LASK!N" &amp; (COLUMN()-1)*3)</f>
        <v>0</v>
      </c>
      <c r="AE3" s="8" cm="1">
        <f t="array" aca="1" ref="AE3" ca="1">INDIRECT("LASK!N" &amp; (COLUMN()-1)*3)</f>
        <v>0</v>
      </c>
    </row>
    <row r="4" spans="1:31" x14ac:dyDescent="0.3">
      <c r="A4" s="4" t="s">
        <v>124</v>
      </c>
      <c r="B4" s="5" cm="1">
        <f t="array" aca="1" ref="B4" ca="1">INDIRECT("'Altach Juniors'!N" &amp; (COLUMN()-1)*3)</f>
        <v>19.181818181818183</v>
      </c>
      <c r="C4" s="5" cm="1">
        <f t="array" aca="1" ref="C4" ca="1">INDIRECT("'Altach Juniors'!N" &amp; (COLUMN()-1)*3)</f>
        <v>19.727272727272727</v>
      </c>
      <c r="D4" s="5" cm="1">
        <f t="array" aca="1" ref="D4" ca="1">INDIRECT("'Altach Juniors'!N" &amp; (COLUMN()-1)*3)</f>
        <v>19.363636363636363</v>
      </c>
      <c r="E4" s="5" cm="1">
        <f t="array" aca="1" ref="E4" ca="1">INDIRECT("'Altach Juniors'!N" &amp; (COLUMN()-1)*3)</f>
        <v>19.727272727272727</v>
      </c>
      <c r="F4" s="5" cm="1">
        <f t="array" aca="1" ref="F4" ca="1">INDIRECT("'Altach Juniors'!N" &amp; (COLUMN()-1)*3)</f>
        <v>19.818181818181817</v>
      </c>
      <c r="G4" s="5" cm="1">
        <f t="array" aca="1" ref="G4" ca="1">INDIRECT("'Altach Juniors'!N" &amp; (COLUMN()-1)*3)</f>
        <v>19.545454545454547</v>
      </c>
      <c r="H4" s="5" cm="1">
        <f t="array" aca="1" ref="H4" ca="1">INDIRECT("'Altach Juniors'!N" &amp; (COLUMN()-1)*3)</f>
        <v>20.454545454545453</v>
      </c>
      <c r="I4" s="5" cm="1">
        <f t="array" aca="1" ref="I4" ca="1">INDIRECT("'Altach Juniors'!N" &amp; (COLUMN()-1)*3)</f>
        <v>19.545454545454547</v>
      </c>
      <c r="J4" s="5" cm="1">
        <f t="array" aca="1" ref="J4" ca="1">INDIRECT("'Altach Juniors'!N" &amp; (COLUMN()-1)*3)</f>
        <v>19.545454545454547</v>
      </c>
      <c r="K4" s="5" cm="1">
        <f t="array" aca="1" ref="K4" ca="1">INDIRECT("'Altach Juniors'!N" &amp; (COLUMN()-1)*3)</f>
        <v>18.636363636363637</v>
      </c>
      <c r="L4" s="5" cm="1">
        <f t="array" aca="1" ref="L4" ca="1">INDIRECT("'Altach Juniors'!N" &amp; (COLUMN()-1)*3)</f>
        <v>20.272727272727273</v>
      </c>
      <c r="M4" s="5" cm="1">
        <f t="array" aca="1" ref="M4" ca="1">INDIRECT("'Altach Juniors'!N" &amp; (COLUMN()-1)*3)</f>
        <v>19.90909090909091</v>
      </c>
      <c r="N4" s="5" cm="1">
        <f t="array" aca="1" ref="N4" ca="1">INDIRECT("'Altach Juniors'!N" &amp; (COLUMN()-1)*3)</f>
        <v>19.545454545454547</v>
      </c>
      <c r="O4" s="5" cm="1">
        <f t="array" aca="1" ref="O4" ca="1">INDIRECT("'Altach Juniors'!N" &amp; (COLUMN()-1)*3)</f>
        <v>19</v>
      </c>
      <c r="P4" s="5" cm="1">
        <f t="array" aca="1" ref="P4" ca="1">INDIRECT("'Altach Juniors'!N" &amp; (COLUMN()-1)*3)</f>
        <v>20.363636363636363</v>
      </c>
      <c r="Q4" s="5" cm="1">
        <f t="array" aca="1" ref="Q4" ca="1">INDIRECT("'Altach Juniors'!N" &amp; (COLUMN()-1)*3)</f>
        <v>20.272727272727273</v>
      </c>
      <c r="R4" s="5" cm="1">
        <f t="array" aca="1" ref="R4" ca="1">INDIRECT("'Altach Juniors'!N" &amp; (COLUMN()-1)*3)</f>
        <v>19.818181818181817</v>
      </c>
      <c r="S4" s="5" cm="1">
        <f t="array" aca="1" ref="S4" ca="1">INDIRECT("'Altach Juniors'!N" &amp; (COLUMN()-1)*3)</f>
        <v>20.181818181818183</v>
      </c>
      <c r="T4" s="5" cm="1">
        <f t="array" aca="1" ref="T4" ca="1">INDIRECT("'Altach Juniors'!N" &amp; (COLUMN()-1)*3)</f>
        <v>19.818181818181817</v>
      </c>
      <c r="U4" s="5" cm="1">
        <f t="array" aca="1" ref="U4" ca="1">INDIRECT("'Altach Juniors'!N" &amp; (COLUMN()-1)*3)</f>
        <v>19.818181818181817</v>
      </c>
      <c r="V4" s="5" cm="1">
        <f t="array" aca="1" ref="V4" ca="1">INDIRECT("'Altach Juniors'!N" &amp; (COLUMN()-1)*3)</f>
        <v>19.636363636363637</v>
      </c>
      <c r="W4" s="5" cm="1">
        <f t="array" aca="1" ref="W4" ca="1">INDIRECT("'Altach Juniors'!N" &amp; (COLUMN()-1)*3)</f>
        <v>18.90909090909091</v>
      </c>
      <c r="X4" s="5" cm="1">
        <f t="array" aca="1" ref="X4" ca="1">INDIRECT("'Altach Juniors'!N" &amp; (COLUMN()-1)*3)</f>
        <v>19.90909090909091</v>
      </c>
      <c r="Y4" s="5" cm="1">
        <f t="array" aca="1" ref="Y4" ca="1">INDIRECT("'Altach Juniors'!N" &amp; (COLUMN()-1)*3)</f>
        <v>19.90909090909091</v>
      </c>
      <c r="Z4" s="5" cm="1">
        <f t="array" aca="1" ref="Z4" ca="1">INDIRECT("'Altach Juniors'!N" &amp; (COLUMN()-1)*3)</f>
        <v>19.363636363636363</v>
      </c>
      <c r="AA4" s="5" cm="1">
        <f t="array" aca="1" ref="AA4" ca="1">INDIRECT("'Altach Juniors'!N" &amp; (COLUMN()-1)*3)</f>
        <v>0</v>
      </c>
      <c r="AB4" s="5" cm="1">
        <f t="array" aca="1" ref="AB4" ca="1">INDIRECT("'Altach Juniors'!N" &amp; (COLUMN()-1)*3)</f>
        <v>0</v>
      </c>
      <c r="AC4" s="5" cm="1">
        <f t="array" aca="1" ref="AC4" ca="1">INDIRECT("'Altach Juniors'!N" &amp; (COLUMN()-1)*3)</f>
        <v>0</v>
      </c>
      <c r="AD4" s="5" cm="1">
        <f t="array" aca="1" ref="AD4" ca="1">INDIRECT("'Altach Juniors'!N" &amp; (COLUMN()-1)*3)</f>
        <v>0</v>
      </c>
      <c r="AE4" s="5" cm="1">
        <f t="array" aca="1" ref="AE4" ca="1">INDIRECT("'Altach Juniors'!N" &amp; (COLUMN()-1)*3)</f>
        <v>0</v>
      </c>
    </row>
    <row r="5" spans="1:31" x14ac:dyDescent="0.3">
      <c r="A5" s="4" t="s">
        <v>41</v>
      </c>
      <c r="B5" s="5" cm="1">
        <f t="array" aca="1" ref="B5" ca="1">INDIRECT("'Young Violets'!N" &amp; (COLUMN()-1)*3)</f>
        <v>20.818181818181817</v>
      </c>
      <c r="C5" s="5" cm="1">
        <f t="array" aca="1" ref="C5" ca="1">INDIRECT("'Young Violets'!N" &amp; (COLUMN()-1)*3)</f>
        <v>20.90909090909091</v>
      </c>
      <c r="D5" s="5" cm="1">
        <f t="array" aca="1" ref="D5" ca="1">INDIRECT("'Young Violets'!N" &amp; (COLUMN()-1)*3)</f>
        <v>21.09090909090909</v>
      </c>
      <c r="E5" s="5" cm="1">
        <f t="array" aca="1" ref="E5" ca="1">INDIRECT("'Young Violets'!N" &amp; (COLUMN()-1)*3)</f>
        <v>21.181818181818183</v>
      </c>
      <c r="F5" s="5" cm="1">
        <f t="array" aca="1" ref="F5" ca="1">INDIRECT("'Young Violets'!N" &amp; (COLUMN()-1)*3)</f>
        <v>21.363636363636363</v>
      </c>
      <c r="G5" s="5" cm="1">
        <f t="array" aca="1" ref="G5" ca="1">INDIRECT("'Young Violets'!N" &amp; (COLUMN()-1)*3)</f>
        <v>21.272727272727273</v>
      </c>
      <c r="H5" s="5" cm="1">
        <f t="array" aca="1" ref="H5" ca="1">INDIRECT("'Young Violets'!N" &amp; (COLUMN()-1)*3)</f>
        <v>21.363636363636363</v>
      </c>
      <c r="I5" s="5" cm="1">
        <f t="array" aca="1" ref="I5" ca="1">INDIRECT("'Young Violets'!N" &amp; (COLUMN()-1)*3)</f>
        <v>20.90909090909091</v>
      </c>
      <c r="J5" s="5" cm="1">
        <f t="array" aca="1" ref="J5" ca="1">INDIRECT("'Young Violets'!N" &amp; (COLUMN()-1)*3)</f>
        <v>19.90909090909091</v>
      </c>
      <c r="K5" s="5" cm="1">
        <f t="array" aca="1" ref="K5" ca="1">INDIRECT("'Young Violets'!N" &amp; (COLUMN()-1)*3)</f>
        <v>19.636363636363637</v>
      </c>
      <c r="L5" s="5" cm="1">
        <f t="array" aca="1" ref="L5" ca="1">INDIRECT("'Young Violets'!N" &amp; (COLUMN()-1)*3)</f>
        <v>21.454545454545453</v>
      </c>
      <c r="M5" s="5" cm="1">
        <f t="array" aca="1" ref="M5" ca="1">INDIRECT("'Young Violets'!N" &amp; (COLUMN()-1)*3)</f>
        <v>21.454545454545453</v>
      </c>
      <c r="N5" s="5" cm="1">
        <f t="array" aca="1" ref="N5" ca="1">INDIRECT("'Young Violets'!N" &amp; (COLUMN()-1)*3)</f>
        <v>21.545454545454547</v>
      </c>
      <c r="O5" s="5" cm="1">
        <f t="array" aca="1" ref="O5" ca="1">INDIRECT("'Young Violets'!N" &amp; (COLUMN()-1)*3)</f>
        <v>21.636363636363637</v>
      </c>
      <c r="P5" s="5" cm="1">
        <f t="array" aca="1" ref="P5" ca="1">INDIRECT("'Young Violets'!N" &amp; (COLUMN()-1)*3)</f>
        <v>21.545454545454547</v>
      </c>
      <c r="Q5" s="5" cm="1">
        <f t="array" aca="1" ref="Q5" ca="1">INDIRECT("'Young Violets'!N" &amp; (COLUMN()-1)*3)</f>
        <v>21.545454545454547</v>
      </c>
      <c r="R5" s="5" cm="1">
        <f t="array" aca="1" ref="R5" ca="1">INDIRECT("'Young Violets'!N" &amp; (COLUMN()-1)*3)</f>
        <v>21.09090909090909</v>
      </c>
      <c r="S5" s="5" cm="1">
        <f t="array" aca="1" ref="S5" ca="1">INDIRECT("'Young Violets'!N" &amp; (COLUMN()-1)*3)</f>
        <v>21.545454545454547</v>
      </c>
      <c r="T5" s="5" cm="1">
        <f t="array" aca="1" ref="T5" ca="1">INDIRECT("'Young Violets'!N" &amp; (COLUMN()-1)*3)</f>
        <v>22</v>
      </c>
      <c r="U5" s="5" cm="1">
        <f t="array" aca="1" ref="U5" ca="1">INDIRECT("'Young Violets'!N" &amp; (COLUMN()-1)*3)</f>
        <v>22</v>
      </c>
      <c r="V5" s="5" cm="1">
        <f t="array" aca="1" ref="V5" ca="1">INDIRECT("'Young Violets'!N" &amp; (COLUMN()-1)*3)</f>
        <v>22</v>
      </c>
      <c r="W5" s="5" cm="1">
        <f t="array" aca="1" ref="W5" ca="1">INDIRECT("'Young Violets'!N" &amp; (COLUMN()-1)*3)</f>
        <v>22.181818181818183</v>
      </c>
      <c r="X5" s="5" cm="1">
        <f t="array" aca="1" ref="X5" ca="1">INDIRECT("'Young Violets'!N" &amp; (COLUMN()-1)*3)</f>
        <v>20.545454545454547</v>
      </c>
      <c r="Y5" s="5" cm="1">
        <f t="array" aca="1" ref="Y5" ca="1">INDIRECT("'Young Violets'!N" &amp; (COLUMN()-1)*3)</f>
        <v>21.363636363636363</v>
      </c>
      <c r="Z5" s="5" cm="1">
        <f t="array" aca="1" ref="Z5" ca="1">INDIRECT("'Young Violets'!N" &amp; (COLUMN()-1)*3)</f>
        <v>21.90909090909091</v>
      </c>
      <c r="AA5" s="5" cm="1">
        <f t="array" aca="1" ref="AA5" ca="1">INDIRECT("'Young Violets'!N" &amp; (COLUMN()-1)*3)</f>
        <v>19.363636363636363</v>
      </c>
      <c r="AB5" s="5" cm="1">
        <f t="array" aca="1" ref="AB5" ca="1">INDIRECT("'Young Violets'!N" &amp; (COLUMN()-1)*3)</f>
        <v>21.272727272727273</v>
      </c>
      <c r="AC5" s="5" cm="1">
        <f t="array" aca="1" ref="AC5" ca="1">INDIRECT("'Young Violets'!N" &amp; (COLUMN()-1)*3)</f>
        <v>19.727272727272727</v>
      </c>
      <c r="AD5" s="5" cm="1">
        <f t="array" aca="1" ref="AD5" ca="1">INDIRECT("'Young Violets'!N" &amp; (COLUMN()-1)*3)</f>
        <v>21.272727272727273</v>
      </c>
      <c r="AE5" s="5" cm="1">
        <f t="array" aca="1" ref="AE5" ca="1">INDIRECT("'Young Violets'!N" &amp; (COLUMN()-1)*3)</f>
        <v>0</v>
      </c>
    </row>
    <row r="6" spans="1:31" x14ac:dyDescent="0.3">
      <c r="A6" s="4" t="s">
        <v>16</v>
      </c>
      <c r="B6" s="5" cm="1">
        <f t="array" aca="1" ref="B6" ca="1">INDIRECT("WAC!N" &amp; (COLUMN()-1)*3)</f>
        <v>21.272727272727273</v>
      </c>
      <c r="C6" s="5" cm="1">
        <f t="array" aca="1" ref="C6" ca="1">INDIRECT("WAC!N" &amp; (COLUMN()-1)*3)</f>
        <v>21.545454545454547</v>
      </c>
      <c r="D6" s="5" cm="1">
        <f t="array" aca="1" ref="D6" ca="1">INDIRECT("WAC!N" &amp; (COLUMN()-1)*3)</f>
        <v>21.272727272727273</v>
      </c>
      <c r="E6" s="5" cm="1">
        <f t="array" aca="1" ref="E6" ca="1">INDIRECT("WAC!N" &amp; (COLUMN()-1)*3)</f>
        <v>21.181818181818183</v>
      </c>
      <c r="F6" s="5" cm="1">
        <f t="array" aca="1" ref="F6" ca="1">INDIRECT("WAC!N" &amp; (COLUMN()-1)*3)</f>
        <v>21</v>
      </c>
      <c r="G6" s="5" cm="1">
        <f t="array" aca="1" ref="G6" ca="1">INDIRECT("WAC!N" &amp; (COLUMN()-1)*3)</f>
        <v>20.363636363636363</v>
      </c>
      <c r="H6" s="5" cm="1">
        <f t="array" aca="1" ref="H6" ca="1">INDIRECT("WAC!N" &amp; (COLUMN()-1)*3)</f>
        <v>20.454545454545453</v>
      </c>
      <c r="I6" s="5" cm="1">
        <f t="array" aca="1" ref="I6" ca="1">INDIRECT("WAC!N" &amp; (COLUMN()-1)*3)</f>
        <v>20.727272727272727</v>
      </c>
      <c r="J6" s="5" cm="1">
        <f t="array" aca="1" ref="J6" ca="1">INDIRECT("WAC!N" &amp; (COLUMN()-1)*3)</f>
        <v>21</v>
      </c>
      <c r="K6" s="5" cm="1">
        <f t="array" aca="1" ref="K6" ca="1">INDIRECT("WAC!N" &amp; (COLUMN()-1)*3)</f>
        <v>20.636363636363637</v>
      </c>
      <c r="L6" s="5" cm="1">
        <f t="array" aca="1" ref="L6" ca="1">INDIRECT("WAC!N" &amp; (COLUMN()-1)*3)</f>
        <v>21.09090909090909</v>
      </c>
      <c r="M6" s="5" cm="1">
        <f t="array" aca="1" ref="M6" ca="1">INDIRECT("WAC!N" &amp; (COLUMN()-1)*3)</f>
        <v>20.636363636363637</v>
      </c>
      <c r="N6" s="5" cm="1">
        <f t="array" aca="1" ref="N6" ca="1">INDIRECT("WAC!N" &amp; (COLUMN()-1)*3)</f>
        <v>20.727272727272727</v>
      </c>
      <c r="O6" s="5" cm="1">
        <f t="array" aca="1" ref="O6" ca="1">INDIRECT("WAC!N" &amp; (COLUMN()-1)*3)</f>
        <v>20.90909090909091</v>
      </c>
      <c r="P6" s="5" cm="1">
        <f t="array" aca="1" ref="P6" ca="1">INDIRECT("WAC!N" &amp; (COLUMN()-1)*3)</f>
        <v>21.09090909090909</v>
      </c>
      <c r="Q6" s="5" cm="1">
        <f t="array" aca="1" ref="Q6" ca="1">INDIRECT("WAC!N" &amp; (COLUMN()-1)*3)</f>
        <v>21.272727272727273</v>
      </c>
      <c r="R6" s="5" cm="1">
        <f t="array" aca="1" ref="R6" ca="1">INDIRECT("WAC!N" &amp; (COLUMN()-1)*3)</f>
        <v>20.636363636363637</v>
      </c>
      <c r="S6" s="5" cm="1">
        <f t="array" aca="1" ref="S6" ca="1">INDIRECT("WAC!N" &amp; (COLUMN()-1)*3)</f>
        <v>21.181818181818183</v>
      </c>
      <c r="T6" s="5" cm="1">
        <f t="array" aca="1" ref="T6" ca="1">INDIRECT("WAC!N" &amp; (COLUMN()-1)*3)</f>
        <v>21.454545454545453</v>
      </c>
      <c r="U6" s="5" cm="1">
        <f t="array" aca="1" ref="U6" ca="1">INDIRECT("WAC!N" &amp; (COLUMN()-1)*3)</f>
        <v>21.181818181818183</v>
      </c>
      <c r="V6" s="5" cm="1">
        <f t="array" aca="1" ref="V6" ca="1">INDIRECT("WAC!N" &amp; (COLUMN()-1)*3)</f>
        <v>21.09090909090909</v>
      </c>
      <c r="W6" s="5" cm="1">
        <f t="array" aca="1" ref="W6" ca="1">INDIRECT("WAC!N" &amp; (COLUMN()-1)*3)</f>
        <v>21.454545454545453</v>
      </c>
      <c r="X6" s="5" cm="1">
        <f t="array" aca="1" ref="X6" ca="1">INDIRECT("WAC!N" &amp; (COLUMN()-1)*3)</f>
        <v>21</v>
      </c>
      <c r="Y6" s="5" cm="1">
        <f t="array" aca="1" ref="Y6" ca="1">INDIRECT("WAC!N" &amp; (COLUMN()-1)*3)</f>
        <v>20.90909090909091</v>
      </c>
      <c r="Z6" s="5" cm="1">
        <f t="array" aca="1" ref="Z6" ca="1">INDIRECT("WAC!N" &amp; (COLUMN()-1)*3)</f>
        <v>20.818181818181817</v>
      </c>
      <c r="AA6" s="5" cm="1">
        <f t="array" aca="1" ref="AA6" ca="1">INDIRECT("WAC!N" &amp; (COLUMN()-1)*3)</f>
        <v>20.818181818181817</v>
      </c>
      <c r="AB6" s="5" cm="1">
        <f t="array" aca="1" ref="AB6" ca="1">INDIRECT("WAC!N" &amp; (COLUMN()-1)*3)</f>
        <v>0</v>
      </c>
      <c r="AC6" s="5" cm="1">
        <f t="array" aca="1" ref="AC6" ca="1">INDIRECT("WAC!N" &amp; (COLUMN()-1)*3)</f>
        <v>0</v>
      </c>
      <c r="AD6" s="5" cm="1">
        <f t="array" aca="1" ref="AD6" ca="1">INDIRECT("WAC!N" &amp; (COLUMN()-1)*3)</f>
        <v>0</v>
      </c>
      <c r="AE6" s="5" cm="1">
        <f t="array" aca="1" ref="AE6" ca="1">INDIRECT("WAC!N" &amp; (COLUMN()-1)*3)</f>
        <v>0</v>
      </c>
    </row>
    <row r="7" spans="1:31" x14ac:dyDescent="0.3">
      <c r="A7" s="4" t="s">
        <v>49</v>
      </c>
      <c r="B7" s="5" cm="1">
        <f t="array" aca="1" ref="B7" ca="1">INDIRECT("Rapid!N" &amp; (COLUMN()-1)*3)</f>
        <v>20</v>
      </c>
      <c r="C7" s="5" cm="1">
        <f t="array" aca="1" ref="C7" ca="1">INDIRECT("Rapid!N" &amp; (COLUMN()-1)*3)</f>
        <v>20.454545454545453</v>
      </c>
      <c r="D7" s="5" cm="1">
        <f t="array" aca="1" ref="D7" ca="1">INDIRECT("Rapid!N" &amp; (COLUMN()-1)*3)</f>
        <v>20.454545454545453</v>
      </c>
      <c r="E7" s="5" cm="1">
        <f t="array" aca="1" ref="E7" ca="1">INDIRECT("Rapid!N" &amp; (COLUMN()-1)*3)</f>
        <v>20.272727272727273</v>
      </c>
      <c r="F7" s="5" cm="1">
        <f t="array" aca="1" ref="F7" ca="1">INDIRECT("Rapid!N" &amp; (COLUMN()-1)*3)</f>
        <v>20.272727272727273</v>
      </c>
      <c r="G7" s="5" cm="1">
        <f t="array" aca="1" ref="G7" ca="1">INDIRECT("Rapid!N" &amp; (COLUMN()-1)*3)</f>
        <v>20.363636363636363</v>
      </c>
      <c r="H7" s="5" cm="1">
        <f t="array" aca="1" ref="H7" ca="1">INDIRECT("Rapid!N" &amp; (COLUMN()-1)*3)</f>
        <v>19.90909090909091</v>
      </c>
      <c r="I7" s="5" cm="1">
        <f t="array" aca="1" ref="I7" ca="1">INDIRECT("Rapid!N" &amp; (COLUMN()-1)*3)</f>
        <v>20</v>
      </c>
      <c r="J7" s="5" cm="1">
        <f t="array" aca="1" ref="J7" ca="1">INDIRECT("Rapid!N" &amp; (COLUMN()-1)*3)</f>
        <v>20.09090909090909</v>
      </c>
      <c r="K7" s="5" cm="1">
        <f t="array" aca="1" ref="K7" ca="1">INDIRECT("Rapid!N" &amp; (COLUMN()-1)*3)</f>
        <v>19.818181818181817</v>
      </c>
      <c r="L7" s="5" cm="1">
        <f t="array" aca="1" ref="L7" ca="1">INDIRECT("Rapid!N" &amp; (COLUMN()-1)*3)</f>
        <v>19.818181818181817</v>
      </c>
      <c r="M7" s="5" cm="1">
        <f t="array" aca="1" ref="M7" ca="1">INDIRECT("Rapid!N" &amp; (COLUMN()-1)*3)</f>
        <v>19.636363636363637</v>
      </c>
      <c r="N7" s="5" cm="1">
        <f t="array" aca="1" ref="N7" ca="1">INDIRECT("Rapid!N" &amp; (COLUMN()-1)*3)</f>
        <v>19.454545454545453</v>
      </c>
      <c r="O7" s="5" cm="1">
        <f t="array" aca="1" ref="O7" ca="1">INDIRECT("Rapid!N" &amp; (COLUMN()-1)*3)</f>
        <v>20</v>
      </c>
      <c r="P7" s="5" cm="1">
        <f t="array" aca="1" ref="P7" ca="1">INDIRECT("Rapid!N" &amp; (COLUMN()-1)*3)</f>
        <v>19.727272727272727</v>
      </c>
      <c r="Q7" s="5" cm="1">
        <f t="array" aca="1" ref="Q7" ca="1">INDIRECT("Rapid!N" &amp; (COLUMN()-1)*3)</f>
        <v>19.636363636363637</v>
      </c>
      <c r="R7" s="5" cm="1">
        <f t="array" aca="1" ref="R7" ca="1">INDIRECT("Rapid!N" &amp; (COLUMN()-1)*3)</f>
        <v>19.363636363636363</v>
      </c>
      <c r="S7" s="5" cm="1">
        <f t="array" aca="1" ref="S7" ca="1">INDIRECT("Rapid!N" &amp; (COLUMN()-1)*3)</f>
        <v>19.09090909090909</v>
      </c>
      <c r="T7" s="5" cm="1">
        <f t="array" aca="1" ref="T7" ca="1">INDIRECT("Rapid!N" &amp; (COLUMN()-1)*3)</f>
        <v>18.818181818181817</v>
      </c>
      <c r="U7" s="5" cm="1">
        <f t="array" aca="1" ref="U7" ca="1">INDIRECT("Rapid!N" &amp; (COLUMN()-1)*3)</f>
        <v>18.818181818181817</v>
      </c>
      <c r="V7" s="5" cm="1">
        <f t="array" aca="1" ref="V7" ca="1">INDIRECT("Rapid!N" &amp; (COLUMN()-1)*3)</f>
        <v>19.272727272727273</v>
      </c>
      <c r="W7" s="5" cm="1">
        <f t="array" aca="1" ref="W7" ca="1">INDIRECT("Rapid!N" &amp; (COLUMN()-1)*3)</f>
        <v>19.363636363636363</v>
      </c>
      <c r="X7" s="5" cm="1">
        <f t="array" aca="1" ref="X7" ca="1">INDIRECT("Rapid!N" &amp; (COLUMN()-1)*3)</f>
        <v>19.09090909090909</v>
      </c>
      <c r="Y7" s="5" cm="1">
        <f t="array" aca="1" ref="Y7" ca="1">INDIRECT("Rapid!N" &amp; (COLUMN()-1)*3)</f>
        <v>19.545454545454547</v>
      </c>
      <c r="Z7" s="5" cm="1">
        <f t="array" aca="1" ref="Z7" ca="1">INDIRECT("Rapid!N" &amp; (COLUMN()-1)*3)</f>
        <v>19.545454545454547</v>
      </c>
      <c r="AA7" s="5" cm="1">
        <f t="array" aca="1" ref="AA7" ca="1">INDIRECT("Rapid!N" &amp; (COLUMN()-1)*3)</f>
        <v>19.545454545454547</v>
      </c>
      <c r="AB7" s="5" cm="1">
        <f t="array" aca="1" ref="AB7" ca="1">INDIRECT("Rapid!N" &amp; (COLUMN()-1)*3)</f>
        <v>19.454545454545453</v>
      </c>
      <c r="AC7" s="5" cm="1">
        <f t="array" aca="1" ref="AC7" ca="1">INDIRECT("Rapid!N" &amp; (COLUMN()-1)*3)</f>
        <v>19.545454545454547</v>
      </c>
      <c r="AD7" s="5" cm="1">
        <f t="array" aca="1" ref="AD7" ca="1">INDIRECT("Rapid!N" &amp; (COLUMN()-1)*3)</f>
        <v>20.181818181818183</v>
      </c>
      <c r="AE7" s="5" cm="1">
        <f t="array" aca="1" ref="AE7" ca="1">INDIRECT("Rapid!N" &amp; (COLUMN()-1)*3)</f>
        <v>0</v>
      </c>
    </row>
    <row r="8" spans="1:31" x14ac:dyDescent="0.3">
      <c r="A8" s="4" t="s">
        <v>51</v>
      </c>
      <c r="B8" s="5" cm="1">
        <f t="array" aca="1" ref="B8" ca="1">INDIRECT("Liefering!N" &amp; (COLUMN()-1)*3)</f>
        <v>19.454545454545453</v>
      </c>
      <c r="C8" s="5" cm="1">
        <f t="array" aca="1" ref="C8" ca="1">INDIRECT("Liefering!N" &amp; (COLUMN()-1)*3)</f>
        <v>19.636363636363637</v>
      </c>
      <c r="D8" s="5" cm="1">
        <f t="array" aca="1" ref="D8" ca="1">INDIRECT("Liefering!N" &amp; (COLUMN()-1)*3)</f>
        <v>19.727272727272727</v>
      </c>
      <c r="E8" s="5" cm="1">
        <f t="array" aca="1" ref="E8" ca="1">INDIRECT("Liefering!N" &amp; (COLUMN()-1)*3)</f>
        <v>19.636363636363637</v>
      </c>
      <c r="F8" s="5" cm="1">
        <f t="array" aca="1" ref="F8" ca="1">INDIRECT("Liefering!N" &amp; (COLUMN()-1)*3)</f>
        <v>19.636363636363637</v>
      </c>
      <c r="G8" s="5" cm="1">
        <f t="array" aca="1" ref="G8" ca="1">INDIRECT("Liefering!N" &amp; (COLUMN()-1)*3)</f>
        <v>19.636363636363637</v>
      </c>
      <c r="H8" s="5" cm="1">
        <f t="array" aca="1" ref="H8" ca="1">INDIRECT("Liefering!N" &amp; (COLUMN()-1)*3)</f>
        <v>19.545454545454547</v>
      </c>
      <c r="I8" s="5" cm="1">
        <f t="array" aca="1" ref="I8" ca="1">INDIRECT("Liefering!N" &amp; (COLUMN()-1)*3)</f>
        <v>19.636363636363637</v>
      </c>
      <c r="J8" s="5" cm="1">
        <f t="array" aca="1" ref="J8" ca="1">INDIRECT("Liefering!N" &amp; (COLUMN()-1)*3)</f>
        <v>19.545454545454547</v>
      </c>
      <c r="K8" s="5" cm="1">
        <f t="array" aca="1" ref="K8" ca="1">INDIRECT("Liefering!N" &amp; (COLUMN()-1)*3)</f>
        <v>19.727272727272727</v>
      </c>
      <c r="L8" s="5" cm="1">
        <f t="array" aca="1" ref="L8" ca="1">INDIRECT("Liefering!N" &amp; (COLUMN()-1)*3)</f>
        <v>19.545454545454547</v>
      </c>
      <c r="M8" s="5" cm="1">
        <f t="array" aca="1" ref="M8" ca="1">INDIRECT("Liefering!N" &amp; (COLUMN()-1)*3)</f>
        <v>19.636363636363637</v>
      </c>
      <c r="N8" s="5" cm="1">
        <f t="array" aca="1" ref="N8" ca="1">INDIRECT("Liefering!N" &amp; (COLUMN()-1)*3)</f>
        <v>19.727272727272727</v>
      </c>
      <c r="O8" s="5" cm="1">
        <f t="array" aca="1" ref="O8" ca="1">INDIRECT("Liefering!N" &amp; (COLUMN()-1)*3)</f>
        <v>19.454545454545453</v>
      </c>
      <c r="P8" s="5" cm="1">
        <f t="array" aca="1" ref="P8" ca="1">INDIRECT("Liefering!N" &amp; (COLUMN()-1)*3)</f>
        <v>19.818181818181817</v>
      </c>
      <c r="Q8" s="5" cm="1">
        <f t="array" aca="1" ref="Q8" ca="1">INDIRECT("Liefering!N" &amp; (COLUMN()-1)*3)</f>
        <v>19.727272727272727</v>
      </c>
      <c r="R8" s="5" cm="1">
        <f t="array" aca="1" ref="R8" ca="1">INDIRECT("Liefering!N" &amp; (COLUMN()-1)*3)</f>
        <v>19.636363636363637</v>
      </c>
      <c r="S8" s="5" cm="1">
        <f t="array" aca="1" ref="S8" ca="1">INDIRECT("Liefering!N" &amp; (COLUMN()-1)*3)</f>
        <v>19.363636363636363</v>
      </c>
      <c r="T8" s="5" cm="1">
        <f t="array" aca="1" ref="T8" ca="1">INDIRECT("Liefering!N" &amp; (COLUMN()-1)*3)</f>
        <v>19.636363636363637</v>
      </c>
      <c r="U8" s="5" cm="1">
        <f t="array" aca="1" ref="U8" ca="1">INDIRECT("Liefering!N" &amp; (COLUMN()-1)*3)</f>
        <v>19.727272727272727</v>
      </c>
      <c r="V8" s="5" cm="1">
        <f t="array" aca="1" ref="V8" ca="1">INDIRECT("Liefering!N" &amp; (COLUMN()-1)*3)</f>
        <v>19.727272727272727</v>
      </c>
      <c r="W8" s="5" cm="1">
        <f t="array" aca="1" ref="W8" ca="1">INDIRECT("Liefering!N" &amp; (COLUMN()-1)*3)</f>
        <v>19.545454545454547</v>
      </c>
      <c r="X8" s="5" cm="1">
        <f t="array" aca="1" ref="X8" ca="1">INDIRECT("Liefering!N" &amp; (COLUMN()-1)*3)</f>
        <v>19.727272727272727</v>
      </c>
      <c r="Y8" s="5" cm="1">
        <f t="array" aca="1" ref="Y8" ca="1">INDIRECT("Liefering!N" &amp; (COLUMN()-1)*3)</f>
        <v>19.454545454545453</v>
      </c>
      <c r="Z8" s="5" cm="1">
        <f t="array" aca="1" ref="Z8" ca="1">INDIRECT("Liefering!N" &amp; (COLUMN()-1)*3)</f>
        <v>19.636363636363637</v>
      </c>
      <c r="AA8" s="5" cm="1">
        <f t="array" aca="1" ref="AA8" ca="1">INDIRECT("Liefering!N" &amp; (COLUMN()-1)*3)</f>
        <v>19.363636363636363</v>
      </c>
      <c r="AB8" s="5" cm="1">
        <f t="array" aca="1" ref="AB8" ca="1">INDIRECT("Liefering!N" &amp; (COLUMN()-1)*3)</f>
        <v>19.181818181818183</v>
      </c>
      <c r="AC8" s="5" cm="1">
        <f t="array" aca="1" ref="AC8" ca="1">INDIRECT("Liefering!N" &amp; (COLUMN()-1)*3)</f>
        <v>19.363636363636363</v>
      </c>
      <c r="AD8" s="5" cm="1">
        <f t="array" aca="1" ref="AD8" ca="1">INDIRECT("Liefering!N" &amp; (COLUMN()-1)*3)</f>
        <v>18.818181818181817</v>
      </c>
      <c r="AE8" s="5" cm="1">
        <f t="array" aca="1" ref="AE8" ca="1">INDIRECT("Liefering!N" &amp; (COLUMN()-1)*3)</f>
        <v>0</v>
      </c>
    </row>
    <row r="9" spans="1:31" x14ac:dyDescent="0.3">
      <c r="A9" s="4" t="s">
        <v>50</v>
      </c>
      <c r="B9" s="5" cm="1">
        <f t="array" aca="1" ref="B9" ca="1">INDIRECT("Sturm!N" &amp; (COLUMN()-1)*3)</f>
        <v>20.272727272727273</v>
      </c>
      <c r="C9" s="5" cm="1">
        <f t="array" aca="1" ref="C9" ca="1">INDIRECT("Sturm!N" &amp; (COLUMN()-1)*3)</f>
        <v>20.545454545454547</v>
      </c>
      <c r="D9" s="5" cm="1">
        <f t="array" aca="1" ref="D9" ca="1">INDIRECT("Sturm!N" &amp; (COLUMN()-1)*3)</f>
        <v>20.454545454545453</v>
      </c>
      <c r="E9" s="5" cm="1">
        <f t="array" aca="1" ref="E9" ca="1">INDIRECT("Sturm!N" &amp; (COLUMN()-1)*3)</f>
        <v>20.545454545454547</v>
      </c>
      <c r="F9" s="5" cm="1">
        <f t="array" aca="1" ref="F9" ca="1">INDIRECT("Sturm!N" &amp; (COLUMN()-1)*3)</f>
        <v>20.181818181818183</v>
      </c>
      <c r="G9" s="5" cm="1">
        <f t="array" aca="1" ref="G9" ca="1">INDIRECT("Sturm!N" &amp; (COLUMN()-1)*3)</f>
        <v>20.363636363636363</v>
      </c>
      <c r="H9" s="5" cm="1">
        <f t="array" aca="1" ref="H9" ca="1">INDIRECT("Sturm!N" &amp; (COLUMN()-1)*3)</f>
        <v>21.363636363636363</v>
      </c>
      <c r="I9" s="5" cm="1">
        <f t="array" aca="1" ref="I9" ca="1">INDIRECT("Sturm!N" &amp; (COLUMN()-1)*3)</f>
        <v>21</v>
      </c>
      <c r="J9" s="5" cm="1">
        <f t="array" aca="1" ref="J9" ca="1">INDIRECT("Sturm!N" &amp; (COLUMN()-1)*3)</f>
        <v>21.727272727272727</v>
      </c>
      <c r="K9" s="5" cm="1">
        <f t="array" aca="1" ref="K9" ca="1">INDIRECT("Sturm!N" &amp; (COLUMN()-1)*3)</f>
        <v>21.09090909090909</v>
      </c>
      <c r="L9" s="5" cm="1">
        <f t="array" aca="1" ref="L9" ca="1">INDIRECT("Sturm!N" &amp; (COLUMN()-1)*3)</f>
        <v>21.09090909090909</v>
      </c>
      <c r="M9" s="5" cm="1">
        <f t="array" aca="1" ref="M9" ca="1">INDIRECT("Sturm!N" &amp; (COLUMN()-1)*3)</f>
        <v>21.09090909090909</v>
      </c>
      <c r="N9" s="5" cm="1">
        <f t="array" aca="1" ref="N9" ca="1">INDIRECT("Sturm!N" &amp; (COLUMN()-1)*3)</f>
        <v>21.272727272727273</v>
      </c>
      <c r="O9" s="5" cm="1">
        <f t="array" aca="1" ref="O9" ca="1">INDIRECT("Sturm!N" &amp; (COLUMN()-1)*3)</f>
        <v>21.818181818181817</v>
      </c>
      <c r="P9" s="5" cm="1">
        <f t="array" aca="1" ref="P9" ca="1">INDIRECT("Sturm!N" &amp; (COLUMN()-1)*3)</f>
        <v>20.727272727272727</v>
      </c>
      <c r="Q9" s="5" cm="1">
        <f t="array" aca="1" ref="Q9" ca="1">INDIRECT("Sturm!N" &amp; (COLUMN()-1)*3)</f>
        <v>21.09090909090909</v>
      </c>
      <c r="R9" s="5" cm="1">
        <f t="array" aca="1" ref="R9" ca="1">INDIRECT("Sturm!N" &amp; (COLUMN()-1)*3)</f>
        <v>20.727272727272727</v>
      </c>
      <c r="S9" s="5" cm="1">
        <f t="array" aca="1" ref="S9" ca="1">INDIRECT("Sturm!N" &amp; (COLUMN()-1)*3)</f>
        <v>20.818181818181817</v>
      </c>
      <c r="T9" s="5" cm="1">
        <f t="array" aca="1" ref="T9" ca="1">INDIRECT("Sturm!N" &amp; (COLUMN()-1)*3)</f>
        <v>21</v>
      </c>
      <c r="U9" s="5" cm="1">
        <f t="array" aca="1" ref="U9" ca="1">INDIRECT("Sturm!N" &amp; (COLUMN()-1)*3)</f>
        <v>20.818181818181817</v>
      </c>
      <c r="V9" s="5" cm="1">
        <f t="array" aca="1" ref="V9" ca="1">INDIRECT("Sturm!N" &amp; (COLUMN()-1)*3)</f>
        <v>21</v>
      </c>
      <c r="W9" s="5" cm="1">
        <f t="array" aca="1" ref="W9" ca="1">INDIRECT("Sturm!N" &amp; (COLUMN()-1)*3)</f>
        <v>20.90909090909091</v>
      </c>
      <c r="X9" s="5" cm="1">
        <f t="array" aca="1" ref="X9" ca="1">INDIRECT("Sturm!N" &amp; (COLUMN()-1)*3)</f>
        <v>21.181818181818183</v>
      </c>
      <c r="Y9" s="5" cm="1">
        <f t="array" aca="1" ref="Y9" ca="1">INDIRECT("Sturm!N" &amp; (COLUMN()-1)*3)</f>
        <v>20.363636363636363</v>
      </c>
      <c r="Z9" s="5" cm="1">
        <f t="array" aca="1" ref="Z9" ca="1">INDIRECT("Sturm!N" &amp; (COLUMN()-1)*3)</f>
        <v>20.818181818181817</v>
      </c>
      <c r="AA9" s="5" cm="1">
        <f t="array" aca="1" ref="AA9" ca="1">INDIRECT("Sturm!N" &amp; (COLUMN()-1)*3)</f>
        <v>20.545454545454547</v>
      </c>
      <c r="AB9" s="5" cm="1">
        <f t="array" aca="1" ref="AB9" ca="1">INDIRECT("Sturm!N" &amp; (COLUMN()-1)*3)</f>
        <v>20.818181818181817</v>
      </c>
      <c r="AC9" s="5" cm="1">
        <f t="array" aca="1" ref="AC9" ca="1">INDIRECT("Sturm!N" &amp; (COLUMN()-1)*3)</f>
        <v>20.636363636363637</v>
      </c>
      <c r="AD9" s="5" cm="1">
        <f t="array" aca="1" ref="AD9" ca="1">INDIRECT("Sturm!N" &amp; (COLUMN()-1)*3)</f>
        <v>19.727272727272727</v>
      </c>
      <c r="AE9" s="5" cm="1">
        <f t="array" aca="1" ref="AE9" ca="1">INDIRECT("Sturm!N" &amp; (COLUMN()-1)*3)</f>
        <v>20.181818181818183</v>
      </c>
    </row>
    <row r="10" spans="1:31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31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3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31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31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31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3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2:22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2:22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2:22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22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2:22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2:22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2:22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2:22" x14ac:dyDescent="0.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2" x14ac:dyDescent="0.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2:22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2:22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2:22" x14ac:dyDescent="0.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2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2:22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2:22" x14ac:dyDescent="0.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2:22" x14ac:dyDescent="0.3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2:22" x14ac:dyDescent="0.3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2:22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2:22" x14ac:dyDescent="0.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</sheetData>
  <phoneticPr fontId="2" type="noConversion"/>
  <conditionalFormatting sqref="B2:AE9">
    <cfRule type="expression" dxfId="1" priority="1">
      <formula>AND(B2&lt;&gt;0,B2=MAX(IF(B$2:B$9&lt;&gt;0,B$2:B$9)))</formula>
    </cfRule>
    <cfRule type="expression" dxfId="0" priority="2">
      <formula>AND(B2&lt;&gt;0,B2=MIN(IF(B$2:B$9&lt;&gt;0,B$2:B$9)))</formula>
    </cfRule>
  </conditionalFormatting>
  <pageMargins left="0.7" right="0.7" top="0.78740157499999996" bottom="0.78740157499999996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D747-1599-4E91-8390-8EFBB40A7E91}">
  <dimension ref="A1:T81"/>
  <sheetViews>
    <sheetView topLeftCell="A16" zoomScale="90" zoomScaleNormal="90" workbookViewId="0">
      <selection activeCell="P18" sqref="P18:P57"/>
    </sheetView>
  </sheetViews>
  <sheetFormatPr baseColWidth="10" defaultRowHeight="14.4" x14ac:dyDescent="0.3"/>
  <cols>
    <col min="1" max="1" width="14.44140625" bestFit="1" customWidth="1"/>
    <col min="4" max="4" width="14.109375" bestFit="1" customWidth="1"/>
    <col min="6" max="6" width="14.109375" bestFit="1" customWidth="1"/>
    <col min="9" max="9" width="14.109375" bestFit="1" customWidth="1"/>
    <col min="13" max="13" width="11.5546875" style="1"/>
  </cols>
  <sheetData>
    <row r="1" spans="1:14" x14ac:dyDescent="0.3">
      <c r="N1" s="1">
        <f ca="1">AVERAGE(N3:N99)</f>
        <v>19.83164983164983</v>
      </c>
    </row>
    <row r="2" spans="1:14" x14ac:dyDescent="0.3">
      <c r="A2" t="s">
        <v>4</v>
      </c>
      <c r="B2" t="s">
        <v>3</v>
      </c>
      <c r="C2" t="s">
        <v>75</v>
      </c>
      <c r="D2" t="s">
        <v>1</v>
      </c>
      <c r="E2" t="s">
        <v>80</v>
      </c>
      <c r="F2" t="s">
        <v>0</v>
      </c>
      <c r="G2" t="s">
        <v>81</v>
      </c>
      <c r="H2" t="s">
        <v>311</v>
      </c>
      <c r="I2" t="s">
        <v>82</v>
      </c>
      <c r="J2" t="s">
        <v>77</v>
      </c>
      <c r="K2" t="s">
        <v>83</v>
      </c>
      <c r="L2" t="s">
        <v>2</v>
      </c>
    </row>
    <row r="3" spans="1:14" x14ac:dyDescent="0.3">
      <c r="B3">
        <f ca="1">DATEDIF(VLOOKUP(B2,$P$18:$Q$100,2,FALSE),TODAY(),"Y")</f>
        <v>27</v>
      </c>
      <c r="C3">
        <f t="shared" ref="C3:L3" ca="1" si="0">DATEDIF(VLOOKUP(C2,$P$18:$Q$100,2,FALSE),TODAY(),"Y")</f>
        <v>18</v>
      </c>
      <c r="D3">
        <f t="shared" ca="1" si="0"/>
        <v>20</v>
      </c>
      <c r="E3">
        <f t="shared" ca="1" si="0"/>
        <v>19</v>
      </c>
      <c r="F3">
        <f t="shared" ca="1" si="0"/>
        <v>18</v>
      </c>
      <c r="G3">
        <f t="shared" ca="1" si="0"/>
        <v>19</v>
      </c>
      <c r="H3">
        <f t="shared" ca="1" si="0"/>
        <v>18</v>
      </c>
      <c r="I3">
        <f t="shared" ca="1" si="0"/>
        <v>18</v>
      </c>
      <c r="J3">
        <f t="shared" ca="1" si="0"/>
        <v>19</v>
      </c>
      <c r="K3">
        <f t="shared" ca="1" si="0"/>
        <v>20</v>
      </c>
      <c r="L3">
        <f t="shared" ca="1" si="0"/>
        <v>21</v>
      </c>
      <c r="N3" s="1">
        <f ca="1">AVERAGE(B3:M3)</f>
        <v>19.727272727272727</v>
      </c>
    </row>
    <row r="5" spans="1:14" x14ac:dyDescent="0.3">
      <c r="A5" t="s">
        <v>84</v>
      </c>
      <c r="B5" t="s">
        <v>105</v>
      </c>
      <c r="C5" t="s">
        <v>75</v>
      </c>
      <c r="D5" t="s">
        <v>1</v>
      </c>
      <c r="E5" t="s">
        <v>80</v>
      </c>
      <c r="F5" t="s">
        <v>0</v>
      </c>
      <c r="G5" t="s">
        <v>106</v>
      </c>
      <c r="H5" t="s">
        <v>107</v>
      </c>
      <c r="I5" t="s">
        <v>82</v>
      </c>
      <c r="J5" t="s">
        <v>77</v>
      </c>
      <c r="K5" t="s">
        <v>108</v>
      </c>
      <c r="L5" t="s">
        <v>2</v>
      </c>
    </row>
    <row r="6" spans="1:14" x14ac:dyDescent="0.3">
      <c r="B6">
        <f ca="1">DATEDIF(VLOOKUP(B5,$P$18:$Q$100,2,FALSE),TODAY(),"Y")</f>
        <v>17</v>
      </c>
      <c r="C6">
        <f t="shared" ref="C6:L6" ca="1" si="1">DATEDIF(VLOOKUP(C5,$P$18:$Q$100,2,FALSE),TODAY(),"Y")</f>
        <v>18</v>
      </c>
      <c r="D6">
        <f t="shared" ca="1" si="1"/>
        <v>20</v>
      </c>
      <c r="E6">
        <f t="shared" ca="1" si="1"/>
        <v>19</v>
      </c>
      <c r="F6">
        <f t="shared" ca="1" si="1"/>
        <v>18</v>
      </c>
      <c r="G6">
        <f t="shared" ca="1" si="1"/>
        <v>17</v>
      </c>
      <c r="H6">
        <f t="shared" ca="1" si="1"/>
        <v>21</v>
      </c>
      <c r="I6">
        <f t="shared" ca="1" si="1"/>
        <v>18</v>
      </c>
      <c r="J6">
        <f t="shared" ca="1" si="1"/>
        <v>19</v>
      </c>
      <c r="K6">
        <f t="shared" ca="1" si="1"/>
        <v>18</v>
      </c>
      <c r="L6">
        <f t="shared" ca="1" si="1"/>
        <v>21</v>
      </c>
      <c r="N6" s="1">
        <f ca="1">AVERAGE(B6:M6)</f>
        <v>18.727272727272727</v>
      </c>
    </row>
    <row r="8" spans="1:14" x14ac:dyDescent="0.3">
      <c r="A8" t="s">
        <v>16</v>
      </c>
      <c r="B8" t="s">
        <v>3</v>
      </c>
      <c r="C8" t="s">
        <v>75</v>
      </c>
      <c r="D8" t="s">
        <v>1</v>
      </c>
      <c r="E8" t="s">
        <v>80</v>
      </c>
      <c r="F8" t="s">
        <v>0</v>
      </c>
      <c r="G8" t="s">
        <v>159</v>
      </c>
      <c r="H8" t="s">
        <v>311</v>
      </c>
      <c r="I8" t="s">
        <v>107</v>
      </c>
      <c r="J8" t="s">
        <v>77</v>
      </c>
      <c r="K8" t="s">
        <v>160</v>
      </c>
      <c r="L8" t="s">
        <v>2</v>
      </c>
    </row>
    <row r="9" spans="1:14" x14ac:dyDescent="0.3">
      <c r="B9">
        <f ca="1">DATEDIF(VLOOKUP(B8,$P$18:$Q$100,2,FALSE),TODAY(),"Y")</f>
        <v>27</v>
      </c>
      <c r="C9">
        <f t="shared" ref="C9:L9" ca="1" si="2">DATEDIF(VLOOKUP(C8,$P$18:$Q$100,2,FALSE),TODAY(),"Y")</f>
        <v>18</v>
      </c>
      <c r="D9">
        <f t="shared" ca="1" si="2"/>
        <v>20</v>
      </c>
      <c r="E9">
        <f t="shared" ca="1" si="2"/>
        <v>19</v>
      </c>
      <c r="F9">
        <f t="shared" ca="1" si="2"/>
        <v>18</v>
      </c>
      <c r="G9">
        <f t="shared" ca="1" si="2"/>
        <v>20</v>
      </c>
      <c r="H9">
        <f t="shared" ca="1" si="2"/>
        <v>18</v>
      </c>
      <c r="I9">
        <f t="shared" ca="1" si="2"/>
        <v>21</v>
      </c>
      <c r="J9">
        <f t="shared" ca="1" si="2"/>
        <v>19</v>
      </c>
      <c r="K9">
        <f t="shared" ca="1" si="2"/>
        <v>33</v>
      </c>
      <c r="L9">
        <f t="shared" ca="1" si="2"/>
        <v>21</v>
      </c>
      <c r="N9" s="1">
        <f ca="1">AVERAGE(B9:M9)</f>
        <v>21.272727272727273</v>
      </c>
    </row>
    <row r="10" spans="1:14" x14ac:dyDescent="0.3">
      <c r="N10" s="1"/>
    </row>
    <row r="11" spans="1:14" x14ac:dyDescent="0.3">
      <c r="A11" t="s">
        <v>164</v>
      </c>
      <c r="B11" t="s">
        <v>105</v>
      </c>
      <c r="C11" t="s">
        <v>75</v>
      </c>
      <c r="D11" t="s">
        <v>1</v>
      </c>
      <c r="E11" t="s">
        <v>80</v>
      </c>
      <c r="F11" t="s">
        <v>0</v>
      </c>
      <c r="G11" t="s">
        <v>165</v>
      </c>
      <c r="H11" t="s">
        <v>82</v>
      </c>
      <c r="I11" t="s">
        <v>81</v>
      </c>
      <c r="J11" t="s">
        <v>77</v>
      </c>
      <c r="K11" t="s">
        <v>160</v>
      </c>
      <c r="L11" t="s">
        <v>2</v>
      </c>
    </row>
    <row r="12" spans="1:14" x14ac:dyDescent="0.3">
      <c r="B12">
        <f ca="1">DATEDIF(VLOOKUP(B11,$P$18:$Q$100,2,FALSE),TODAY(),"Y")</f>
        <v>17</v>
      </c>
      <c r="C12">
        <f t="shared" ref="C12:L12" ca="1" si="3">DATEDIF(VLOOKUP(C11,$P$18:$Q$100,2,FALSE),TODAY(),"Y")</f>
        <v>18</v>
      </c>
      <c r="D12">
        <f t="shared" ca="1" si="3"/>
        <v>20</v>
      </c>
      <c r="E12">
        <f t="shared" ca="1" si="3"/>
        <v>19</v>
      </c>
      <c r="F12">
        <f t="shared" ca="1" si="3"/>
        <v>18</v>
      </c>
      <c r="G12">
        <f t="shared" ca="1" si="3"/>
        <v>18</v>
      </c>
      <c r="H12">
        <f t="shared" ca="1" si="3"/>
        <v>18</v>
      </c>
      <c r="I12">
        <f t="shared" ca="1" si="3"/>
        <v>19</v>
      </c>
      <c r="J12">
        <f t="shared" ca="1" si="3"/>
        <v>19</v>
      </c>
      <c r="K12">
        <f t="shared" ca="1" si="3"/>
        <v>33</v>
      </c>
      <c r="L12">
        <f t="shared" ca="1" si="3"/>
        <v>21</v>
      </c>
      <c r="N12" s="1">
        <f ca="1">AVERAGE(B12:M12)</f>
        <v>20</v>
      </c>
    </row>
    <row r="13" spans="1:14" x14ac:dyDescent="0.3">
      <c r="N13" s="1"/>
    </row>
    <row r="14" spans="1:14" x14ac:dyDescent="0.3">
      <c r="A14" t="s">
        <v>15</v>
      </c>
      <c r="B14" t="s">
        <v>3</v>
      </c>
      <c r="C14" t="s">
        <v>75</v>
      </c>
      <c r="D14" t="s">
        <v>1</v>
      </c>
      <c r="E14" t="s">
        <v>80</v>
      </c>
      <c r="F14" t="s">
        <v>0</v>
      </c>
      <c r="G14" t="s">
        <v>81</v>
      </c>
      <c r="H14" t="s">
        <v>311</v>
      </c>
      <c r="I14" t="s">
        <v>82</v>
      </c>
      <c r="J14" t="s">
        <v>77</v>
      </c>
      <c r="K14" t="s">
        <v>160</v>
      </c>
      <c r="L14" t="s">
        <v>2</v>
      </c>
    </row>
    <row r="15" spans="1:14" x14ac:dyDescent="0.3">
      <c r="B15">
        <f ca="1">DATEDIF(VLOOKUP(B14,$P$18:$Q$100,2,FALSE),TODAY(),"Y")</f>
        <v>27</v>
      </c>
      <c r="C15">
        <f t="shared" ref="C15:L15" ca="1" si="4">DATEDIF(VLOOKUP(C14,$P$18:$Q$100,2,FALSE),TODAY(),"Y")</f>
        <v>18</v>
      </c>
      <c r="D15">
        <f t="shared" ca="1" si="4"/>
        <v>20</v>
      </c>
      <c r="E15">
        <f t="shared" ca="1" si="4"/>
        <v>19</v>
      </c>
      <c r="F15">
        <f t="shared" ca="1" si="4"/>
        <v>18</v>
      </c>
      <c r="G15">
        <f t="shared" ca="1" si="4"/>
        <v>19</v>
      </c>
      <c r="H15">
        <f t="shared" ca="1" si="4"/>
        <v>18</v>
      </c>
      <c r="I15">
        <f t="shared" ca="1" si="4"/>
        <v>18</v>
      </c>
      <c r="J15">
        <f t="shared" ca="1" si="4"/>
        <v>19</v>
      </c>
      <c r="K15">
        <f t="shared" ca="1" si="4"/>
        <v>33</v>
      </c>
      <c r="L15">
        <f t="shared" ca="1" si="4"/>
        <v>21</v>
      </c>
      <c r="N15" s="1">
        <f ca="1">AVERAGE(B15:M15)</f>
        <v>20.90909090909091</v>
      </c>
    </row>
    <row r="17" spans="1:20" x14ac:dyDescent="0.3">
      <c r="A17" t="s">
        <v>112</v>
      </c>
      <c r="B17" t="s">
        <v>189</v>
      </c>
      <c r="C17" t="s">
        <v>75</v>
      </c>
      <c r="D17" t="s">
        <v>1</v>
      </c>
      <c r="E17" t="s">
        <v>190</v>
      </c>
      <c r="F17" t="s">
        <v>0</v>
      </c>
      <c r="G17" t="s">
        <v>81</v>
      </c>
      <c r="H17" t="s">
        <v>311</v>
      </c>
      <c r="I17" t="s">
        <v>159</v>
      </c>
      <c r="J17" t="s">
        <v>77</v>
      </c>
      <c r="K17" t="s">
        <v>83</v>
      </c>
      <c r="L17" t="s">
        <v>2</v>
      </c>
    </row>
    <row r="18" spans="1:20" x14ac:dyDescent="0.3">
      <c r="B18">
        <f ca="1">DATEDIF(VLOOKUP(B17,$P$18:$Q$100,2,FALSE),TODAY(),"Y")</f>
        <v>19</v>
      </c>
      <c r="C18">
        <f t="shared" ref="C18:L18" ca="1" si="5">DATEDIF(VLOOKUP(C17,$P$18:$Q$100,2,FALSE),TODAY(),"Y")</f>
        <v>18</v>
      </c>
      <c r="D18">
        <f t="shared" ca="1" si="5"/>
        <v>20</v>
      </c>
      <c r="E18">
        <f t="shared" ca="1" si="5"/>
        <v>18</v>
      </c>
      <c r="F18">
        <f t="shared" ca="1" si="5"/>
        <v>18</v>
      </c>
      <c r="G18">
        <f t="shared" ca="1" si="5"/>
        <v>19</v>
      </c>
      <c r="H18">
        <f t="shared" ca="1" si="5"/>
        <v>18</v>
      </c>
      <c r="I18">
        <f t="shared" ca="1" si="5"/>
        <v>20</v>
      </c>
      <c r="J18">
        <f t="shared" ca="1" si="5"/>
        <v>19</v>
      </c>
      <c r="K18">
        <f t="shared" ca="1" si="5"/>
        <v>20</v>
      </c>
      <c r="L18">
        <f t="shared" ca="1" si="5"/>
        <v>21</v>
      </c>
      <c r="N18" s="1">
        <f ca="1">AVERAGE(B18:M18)</f>
        <v>19.09090909090909</v>
      </c>
      <c r="P18" t="s">
        <v>3</v>
      </c>
      <c r="Q18" s="6">
        <v>36024</v>
      </c>
      <c r="T18">
        <v>40</v>
      </c>
    </row>
    <row r="19" spans="1:20" x14ac:dyDescent="0.3">
      <c r="P19" t="s">
        <v>75</v>
      </c>
      <c r="Q19" s="6">
        <v>39233</v>
      </c>
    </row>
    <row r="20" spans="1:20" x14ac:dyDescent="0.3">
      <c r="A20" t="s">
        <v>194</v>
      </c>
      <c r="B20" t="s">
        <v>105</v>
      </c>
      <c r="C20" t="s">
        <v>75</v>
      </c>
      <c r="D20" t="s">
        <v>81</v>
      </c>
      <c r="E20" t="s">
        <v>80</v>
      </c>
      <c r="F20" t="s">
        <v>106</v>
      </c>
      <c r="G20" t="s">
        <v>0</v>
      </c>
      <c r="H20" t="s">
        <v>77</v>
      </c>
      <c r="I20" t="s">
        <v>195</v>
      </c>
      <c r="J20" t="s">
        <v>107</v>
      </c>
      <c r="K20" t="s">
        <v>83</v>
      </c>
      <c r="L20" t="s">
        <v>190</v>
      </c>
      <c r="P20" t="s">
        <v>80</v>
      </c>
      <c r="Q20" s="6">
        <v>39158</v>
      </c>
    </row>
    <row r="21" spans="1:20" x14ac:dyDescent="0.3">
      <c r="B21">
        <f ca="1">DATEDIF(VLOOKUP(B20,$P$18:$Q$100,2,FALSE),TODAY(),"Y")</f>
        <v>17</v>
      </c>
      <c r="C21">
        <f t="shared" ref="C21:L21" ca="1" si="6">DATEDIF(VLOOKUP(C20,$P$18:$Q$100,2,FALSE),TODAY(),"Y")</f>
        <v>18</v>
      </c>
      <c r="D21">
        <f t="shared" ca="1" si="6"/>
        <v>19</v>
      </c>
      <c r="E21">
        <f t="shared" ca="1" si="6"/>
        <v>19</v>
      </c>
      <c r="F21">
        <f t="shared" ca="1" si="6"/>
        <v>17</v>
      </c>
      <c r="G21">
        <f t="shared" ca="1" si="6"/>
        <v>18</v>
      </c>
      <c r="H21">
        <f t="shared" ca="1" si="6"/>
        <v>19</v>
      </c>
      <c r="I21">
        <f t="shared" ca="1" si="6"/>
        <v>20</v>
      </c>
      <c r="J21">
        <f t="shared" ca="1" si="6"/>
        <v>21</v>
      </c>
      <c r="K21">
        <f t="shared" ca="1" si="6"/>
        <v>20</v>
      </c>
      <c r="L21">
        <f t="shared" ca="1" si="6"/>
        <v>18</v>
      </c>
      <c r="N21" s="1">
        <f ca="1">AVERAGE(B21:M21)</f>
        <v>18.727272727272727</v>
      </c>
      <c r="P21" t="s">
        <v>1</v>
      </c>
      <c r="Q21" s="6">
        <v>38504</v>
      </c>
    </row>
    <row r="22" spans="1:20" x14ac:dyDescent="0.3">
      <c r="P22" t="s">
        <v>77</v>
      </c>
      <c r="Q22" s="6">
        <v>38946</v>
      </c>
    </row>
    <row r="23" spans="1:20" x14ac:dyDescent="0.3">
      <c r="A23" t="s">
        <v>102</v>
      </c>
      <c r="B23" t="s">
        <v>3</v>
      </c>
      <c r="C23" t="s">
        <v>75</v>
      </c>
      <c r="D23" t="s">
        <v>81</v>
      </c>
      <c r="E23" t="s">
        <v>1</v>
      </c>
      <c r="F23" t="s">
        <v>106</v>
      </c>
      <c r="G23" t="s">
        <v>0</v>
      </c>
      <c r="H23" t="s">
        <v>2</v>
      </c>
      <c r="I23" t="s">
        <v>195</v>
      </c>
      <c r="J23" t="s">
        <v>82</v>
      </c>
      <c r="K23" t="s">
        <v>83</v>
      </c>
      <c r="L23" t="s">
        <v>218</v>
      </c>
      <c r="P23" t="s">
        <v>81</v>
      </c>
      <c r="Q23" s="6">
        <v>38883</v>
      </c>
    </row>
    <row r="24" spans="1:20" x14ac:dyDescent="0.3">
      <c r="B24">
        <f ca="1">DATEDIF(VLOOKUP(B23,$P$18:$Q$100,2,FALSE),TODAY(),"Y")</f>
        <v>27</v>
      </c>
      <c r="C24">
        <f t="shared" ref="C24:L24" ca="1" si="7">DATEDIF(VLOOKUP(C23,$P$18:$Q$100,2,FALSE),TODAY(),"Y")</f>
        <v>18</v>
      </c>
      <c r="D24">
        <f t="shared" ca="1" si="7"/>
        <v>19</v>
      </c>
      <c r="E24">
        <f t="shared" ca="1" si="7"/>
        <v>20</v>
      </c>
      <c r="F24">
        <f t="shared" ca="1" si="7"/>
        <v>17</v>
      </c>
      <c r="G24">
        <f t="shared" ca="1" si="7"/>
        <v>18</v>
      </c>
      <c r="H24">
        <f t="shared" ca="1" si="7"/>
        <v>21</v>
      </c>
      <c r="I24">
        <f t="shared" ca="1" si="7"/>
        <v>20</v>
      </c>
      <c r="J24">
        <f t="shared" ca="1" si="7"/>
        <v>18</v>
      </c>
      <c r="K24">
        <f t="shared" ca="1" si="7"/>
        <v>20</v>
      </c>
      <c r="L24">
        <f t="shared" ca="1" si="7"/>
        <v>19</v>
      </c>
      <c r="N24" s="1">
        <f ca="1">AVERAGE(B24:M24)</f>
        <v>19.727272727272727</v>
      </c>
      <c r="P24" t="s">
        <v>0</v>
      </c>
      <c r="Q24" s="6">
        <v>39290</v>
      </c>
    </row>
    <row r="25" spans="1:20" x14ac:dyDescent="0.3">
      <c r="P25" t="s">
        <v>82</v>
      </c>
      <c r="Q25" s="6">
        <v>39266</v>
      </c>
    </row>
    <row r="26" spans="1:20" x14ac:dyDescent="0.3">
      <c r="A26" t="s">
        <v>149</v>
      </c>
      <c r="B26" t="s">
        <v>105</v>
      </c>
      <c r="C26" t="s">
        <v>75</v>
      </c>
      <c r="D26" t="s">
        <v>81</v>
      </c>
      <c r="E26" t="s">
        <v>1</v>
      </c>
      <c r="F26" t="s">
        <v>106</v>
      </c>
      <c r="G26" t="s">
        <v>0</v>
      </c>
      <c r="H26" t="s">
        <v>2</v>
      </c>
      <c r="I26" t="s">
        <v>195</v>
      </c>
      <c r="J26" t="s">
        <v>82</v>
      </c>
      <c r="K26" t="s">
        <v>83</v>
      </c>
      <c r="L26" t="s">
        <v>218</v>
      </c>
      <c r="P26" t="s">
        <v>311</v>
      </c>
      <c r="Q26" s="6">
        <v>39372</v>
      </c>
    </row>
    <row r="27" spans="1:20" x14ac:dyDescent="0.3">
      <c r="B27">
        <f ca="1">DATEDIF(VLOOKUP(B26,$P$18:$Q$100,2,FALSE),TODAY(),"Y")</f>
        <v>17</v>
      </c>
      <c r="C27">
        <f t="shared" ref="C27:L27" ca="1" si="8">DATEDIF(VLOOKUP(C26,$P$18:$Q$100,2,FALSE),TODAY(),"Y")</f>
        <v>18</v>
      </c>
      <c r="D27">
        <f t="shared" ca="1" si="8"/>
        <v>19</v>
      </c>
      <c r="E27">
        <f t="shared" ca="1" si="8"/>
        <v>20</v>
      </c>
      <c r="F27">
        <f t="shared" ca="1" si="8"/>
        <v>17</v>
      </c>
      <c r="G27">
        <f t="shared" ca="1" si="8"/>
        <v>18</v>
      </c>
      <c r="H27">
        <f t="shared" ca="1" si="8"/>
        <v>21</v>
      </c>
      <c r="I27">
        <f t="shared" ca="1" si="8"/>
        <v>20</v>
      </c>
      <c r="J27">
        <f t="shared" ca="1" si="8"/>
        <v>18</v>
      </c>
      <c r="K27">
        <f t="shared" ca="1" si="8"/>
        <v>20</v>
      </c>
      <c r="L27">
        <f t="shared" ca="1" si="8"/>
        <v>19</v>
      </c>
      <c r="N27" s="1">
        <f ca="1">AVERAGE(B27:M27)</f>
        <v>18.818181818181817</v>
      </c>
      <c r="P27" t="s">
        <v>83</v>
      </c>
      <c r="Q27" s="6">
        <v>38668</v>
      </c>
    </row>
    <row r="28" spans="1:20" x14ac:dyDescent="0.3">
      <c r="P28" t="s">
        <v>2</v>
      </c>
      <c r="Q28" s="6">
        <v>38453</v>
      </c>
    </row>
    <row r="29" spans="1:20" x14ac:dyDescent="0.3">
      <c r="A29" t="s">
        <v>166</v>
      </c>
      <c r="B29" t="s">
        <v>3</v>
      </c>
      <c r="C29" t="s">
        <v>75</v>
      </c>
      <c r="D29" t="s">
        <v>81</v>
      </c>
      <c r="E29" t="s">
        <v>1</v>
      </c>
      <c r="F29" t="s">
        <v>106</v>
      </c>
      <c r="G29" t="s">
        <v>0</v>
      </c>
      <c r="H29" t="s">
        <v>2</v>
      </c>
      <c r="I29" t="s">
        <v>195</v>
      </c>
      <c r="J29" t="s">
        <v>159</v>
      </c>
      <c r="K29" t="s">
        <v>311</v>
      </c>
      <c r="L29" t="s">
        <v>218</v>
      </c>
      <c r="P29" t="s">
        <v>105</v>
      </c>
      <c r="Q29" s="6">
        <v>39664</v>
      </c>
    </row>
    <row r="30" spans="1:20" x14ac:dyDescent="0.3">
      <c r="B30">
        <f ca="1">DATEDIF(VLOOKUP(B29,$P$18:$Q$100,2,FALSE),TODAY(),"Y")</f>
        <v>27</v>
      </c>
      <c r="C30">
        <f t="shared" ref="C30:L30" ca="1" si="9">DATEDIF(VLOOKUP(C29,$P$18:$Q$100,2,FALSE),TODAY(),"Y")</f>
        <v>18</v>
      </c>
      <c r="D30">
        <f t="shared" ca="1" si="9"/>
        <v>19</v>
      </c>
      <c r="E30">
        <f t="shared" ca="1" si="9"/>
        <v>20</v>
      </c>
      <c r="F30">
        <f t="shared" ca="1" si="9"/>
        <v>17</v>
      </c>
      <c r="G30">
        <f t="shared" ca="1" si="9"/>
        <v>18</v>
      </c>
      <c r="H30">
        <f t="shared" ca="1" si="9"/>
        <v>21</v>
      </c>
      <c r="I30">
        <f t="shared" ca="1" si="9"/>
        <v>20</v>
      </c>
      <c r="J30">
        <f t="shared" ca="1" si="9"/>
        <v>20</v>
      </c>
      <c r="K30">
        <f t="shared" ca="1" si="9"/>
        <v>18</v>
      </c>
      <c r="L30">
        <f t="shared" ca="1" si="9"/>
        <v>19</v>
      </c>
      <c r="N30" s="1">
        <f ca="1">AVERAGE(B30:M30)</f>
        <v>19.727272727272727</v>
      </c>
      <c r="P30" t="s">
        <v>106</v>
      </c>
      <c r="Q30" s="6">
        <v>39653</v>
      </c>
    </row>
    <row r="31" spans="1:20" x14ac:dyDescent="0.3">
      <c r="P31" t="s">
        <v>108</v>
      </c>
      <c r="Q31" s="6">
        <v>39418</v>
      </c>
    </row>
    <row r="32" spans="1:20" x14ac:dyDescent="0.3">
      <c r="A32" t="s">
        <v>174</v>
      </c>
      <c r="B32" t="s">
        <v>3</v>
      </c>
      <c r="C32" t="s">
        <v>75</v>
      </c>
      <c r="D32" t="s">
        <v>81</v>
      </c>
      <c r="E32" t="s">
        <v>190</v>
      </c>
      <c r="F32" t="s">
        <v>106</v>
      </c>
      <c r="G32" t="s">
        <v>0</v>
      </c>
      <c r="H32" t="s">
        <v>2</v>
      </c>
      <c r="I32" t="s">
        <v>195</v>
      </c>
      <c r="J32" t="s">
        <v>77</v>
      </c>
      <c r="K32" t="s">
        <v>311</v>
      </c>
      <c r="L32" t="s">
        <v>218</v>
      </c>
      <c r="P32" t="s">
        <v>107</v>
      </c>
      <c r="Q32" s="6">
        <v>38272</v>
      </c>
    </row>
    <row r="33" spans="1:17" x14ac:dyDescent="0.3">
      <c r="B33">
        <f ca="1">DATEDIF(VLOOKUP(B32,$P$18:$Q$100,2,FALSE),TODAY(),"Y")</f>
        <v>27</v>
      </c>
      <c r="C33">
        <f t="shared" ref="C33:L33" ca="1" si="10">DATEDIF(VLOOKUP(C32,$P$18:$Q$100,2,FALSE),TODAY(),"Y")</f>
        <v>18</v>
      </c>
      <c r="D33">
        <f t="shared" ca="1" si="10"/>
        <v>19</v>
      </c>
      <c r="E33">
        <f t="shared" ca="1" si="10"/>
        <v>18</v>
      </c>
      <c r="F33">
        <f t="shared" ca="1" si="10"/>
        <v>17</v>
      </c>
      <c r="G33">
        <f t="shared" ca="1" si="10"/>
        <v>18</v>
      </c>
      <c r="H33">
        <f t="shared" ca="1" si="10"/>
        <v>21</v>
      </c>
      <c r="I33">
        <f t="shared" ca="1" si="10"/>
        <v>20</v>
      </c>
      <c r="J33">
        <f t="shared" ca="1" si="10"/>
        <v>19</v>
      </c>
      <c r="K33">
        <f t="shared" ca="1" si="10"/>
        <v>18</v>
      </c>
      <c r="L33">
        <f t="shared" ca="1" si="10"/>
        <v>19</v>
      </c>
      <c r="N33" s="1">
        <f ca="1">AVERAGE(B33:M33)</f>
        <v>19.454545454545453</v>
      </c>
      <c r="P33" t="s">
        <v>159</v>
      </c>
      <c r="Q33" s="6">
        <v>38665</v>
      </c>
    </row>
    <row r="34" spans="1:17" x14ac:dyDescent="0.3">
      <c r="P34" t="s">
        <v>160</v>
      </c>
      <c r="Q34" s="6">
        <v>33804</v>
      </c>
    </row>
    <row r="35" spans="1:17" x14ac:dyDescent="0.3">
      <c r="A35" t="s">
        <v>191</v>
      </c>
      <c r="B35" t="s">
        <v>3</v>
      </c>
      <c r="C35" t="s">
        <v>75</v>
      </c>
      <c r="D35" t="s">
        <v>81</v>
      </c>
      <c r="E35" t="s">
        <v>190</v>
      </c>
      <c r="F35" t="s">
        <v>106</v>
      </c>
      <c r="G35" t="s">
        <v>0</v>
      </c>
      <c r="H35" t="s">
        <v>2</v>
      </c>
      <c r="I35" t="s">
        <v>195</v>
      </c>
      <c r="J35" t="s">
        <v>159</v>
      </c>
      <c r="K35" t="s">
        <v>311</v>
      </c>
      <c r="L35" t="s">
        <v>218</v>
      </c>
      <c r="P35" t="s">
        <v>165</v>
      </c>
      <c r="Q35" s="6">
        <v>39356</v>
      </c>
    </row>
    <row r="36" spans="1:17" x14ac:dyDescent="0.3">
      <c r="B36">
        <f ca="1">DATEDIF(VLOOKUP(B35,$P$18:$Q$100,2,FALSE),TODAY(),"Y")</f>
        <v>27</v>
      </c>
      <c r="C36">
        <f t="shared" ref="C36:L36" ca="1" si="11">DATEDIF(VLOOKUP(C35,$P$18:$Q$100,2,FALSE),TODAY(),"Y")</f>
        <v>18</v>
      </c>
      <c r="D36">
        <f t="shared" ca="1" si="11"/>
        <v>19</v>
      </c>
      <c r="E36">
        <f t="shared" ca="1" si="11"/>
        <v>18</v>
      </c>
      <c r="F36">
        <f t="shared" ca="1" si="11"/>
        <v>17</v>
      </c>
      <c r="G36">
        <f t="shared" ca="1" si="11"/>
        <v>18</v>
      </c>
      <c r="H36">
        <f t="shared" ca="1" si="11"/>
        <v>21</v>
      </c>
      <c r="I36">
        <f t="shared" ca="1" si="11"/>
        <v>20</v>
      </c>
      <c r="J36">
        <f t="shared" ca="1" si="11"/>
        <v>20</v>
      </c>
      <c r="K36">
        <f t="shared" ca="1" si="11"/>
        <v>18</v>
      </c>
      <c r="L36">
        <f t="shared" ca="1" si="11"/>
        <v>19</v>
      </c>
      <c r="N36" s="1">
        <f ca="1">AVERAGE(B36:M36)</f>
        <v>19.545454545454547</v>
      </c>
      <c r="P36" t="s">
        <v>190</v>
      </c>
      <c r="Q36" s="6">
        <v>39361</v>
      </c>
    </row>
    <row r="37" spans="1:17" x14ac:dyDescent="0.3">
      <c r="P37" t="s">
        <v>189</v>
      </c>
      <c r="Q37" s="6">
        <v>38982</v>
      </c>
    </row>
    <row r="38" spans="1:17" x14ac:dyDescent="0.3">
      <c r="A38" t="s">
        <v>198</v>
      </c>
      <c r="B38" t="s">
        <v>50</v>
      </c>
      <c r="C38" t="s">
        <v>75</v>
      </c>
      <c r="D38" t="s">
        <v>81</v>
      </c>
      <c r="E38" t="s">
        <v>107</v>
      </c>
      <c r="F38" t="s">
        <v>245</v>
      </c>
      <c r="G38" t="s">
        <v>0</v>
      </c>
      <c r="H38" t="s">
        <v>2</v>
      </c>
      <c r="I38" t="s">
        <v>195</v>
      </c>
      <c r="J38" t="s">
        <v>82</v>
      </c>
      <c r="K38" t="s">
        <v>83</v>
      </c>
      <c r="L38" t="s">
        <v>218</v>
      </c>
      <c r="P38" t="s">
        <v>195</v>
      </c>
      <c r="Q38" s="6">
        <v>38539</v>
      </c>
    </row>
    <row r="39" spans="1:17" x14ac:dyDescent="0.3">
      <c r="B39">
        <f ca="1">DATEDIF(VLOOKUP(B38,$P$18:$Q$100,2,FALSE),TODAY(),"Y")</f>
        <v>16</v>
      </c>
      <c r="C39">
        <f t="shared" ref="C39:L39" ca="1" si="12">DATEDIF(VLOOKUP(C38,$P$18:$Q$100,2,FALSE),TODAY(),"Y")</f>
        <v>18</v>
      </c>
      <c r="D39">
        <f t="shared" ca="1" si="12"/>
        <v>19</v>
      </c>
      <c r="E39">
        <f t="shared" ca="1" si="12"/>
        <v>21</v>
      </c>
      <c r="F39">
        <f t="shared" ca="1" si="12"/>
        <v>18</v>
      </c>
      <c r="G39">
        <f t="shared" ca="1" si="12"/>
        <v>18</v>
      </c>
      <c r="H39">
        <f t="shared" ca="1" si="12"/>
        <v>21</v>
      </c>
      <c r="I39">
        <f t="shared" ca="1" si="12"/>
        <v>20</v>
      </c>
      <c r="J39">
        <f t="shared" ca="1" si="12"/>
        <v>18</v>
      </c>
      <c r="K39">
        <f t="shared" ca="1" si="12"/>
        <v>20</v>
      </c>
      <c r="L39">
        <f t="shared" ca="1" si="12"/>
        <v>19</v>
      </c>
      <c r="N39" s="1">
        <f ca="1">AVERAGE(B39:M39)</f>
        <v>18.90909090909091</v>
      </c>
      <c r="P39" t="s">
        <v>218</v>
      </c>
      <c r="Q39" s="6">
        <v>38932</v>
      </c>
    </row>
    <row r="40" spans="1:17" x14ac:dyDescent="0.3">
      <c r="P40" t="s">
        <v>50</v>
      </c>
      <c r="Q40" s="6">
        <v>39958</v>
      </c>
    </row>
    <row r="41" spans="1:17" x14ac:dyDescent="0.3">
      <c r="A41" t="s">
        <v>228</v>
      </c>
      <c r="B41" t="s">
        <v>3</v>
      </c>
      <c r="C41" t="s">
        <v>75</v>
      </c>
      <c r="D41" t="s">
        <v>81</v>
      </c>
      <c r="E41" t="s">
        <v>107</v>
      </c>
      <c r="F41" t="s">
        <v>106</v>
      </c>
      <c r="G41" t="s">
        <v>0</v>
      </c>
      <c r="H41" t="s">
        <v>2</v>
      </c>
      <c r="I41" t="s">
        <v>195</v>
      </c>
      <c r="J41" t="s">
        <v>82</v>
      </c>
      <c r="K41" t="s">
        <v>165</v>
      </c>
      <c r="L41" t="s">
        <v>218</v>
      </c>
      <c r="P41" t="s">
        <v>245</v>
      </c>
      <c r="Q41" s="6">
        <v>39424</v>
      </c>
    </row>
    <row r="42" spans="1:17" x14ac:dyDescent="0.3">
      <c r="B42">
        <f ca="1">DATEDIF(VLOOKUP(B41,$P$18:$Q$100,2,FALSE),TODAY(),"Y")</f>
        <v>27</v>
      </c>
      <c r="C42">
        <f t="shared" ref="C42:L42" ca="1" si="13">DATEDIF(VLOOKUP(C41,$P$18:$Q$100,2,FALSE),TODAY(),"Y")</f>
        <v>18</v>
      </c>
      <c r="D42">
        <f t="shared" ca="1" si="13"/>
        <v>19</v>
      </c>
      <c r="E42">
        <f t="shared" ca="1" si="13"/>
        <v>21</v>
      </c>
      <c r="F42">
        <f t="shared" ca="1" si="13"/>
        <v>17</v>
      </c>
      <c r="G42">
        <f t="shared" ca="1" si="13"/>
        <v>18</v>
      </c>
      <c r="H42">
        <f t="shared" ca="1" si="13"/>
        <v>21</v>
      </c>
      <c r="I42">
        <f t="shared" ca="1" si="13"/>
        <v>20</v>
      </c>
      <c r="J42">
        <f t="shared" ca="1" si="13"/>
        <v>18</v>
      </c>
      <c r="K42">
        <f t="shared" ca="1" si="13"/>
        <v>18</v>
      </c>
      <c r="L42">
        <f t="shared" ca="1" si="13"/>
        <v>19</v>
      </c>
      <c r="N42" s="1">
        <f ca="1">AVERAGE(B42:M42)</f>
        <v>19.636363636363637</v>
      </c>
      <c r="P42" t="s">
        <v>260</v>
      </c>
      <c r="Q42" s="6">
        <v>39739</v>
      </c>
    </row>
    <row r="43" spans="1:17" x14ac:dyDescent="0.3">
      <c r="P43" t="s">
        <v>259</v>
      </c>
      <c r="Q43" s="6">
        <v>39667</v>
      </c>
    </row>
    <row r="44" spans="1:17" x14ac:dyDescent="0.3">
      <c r="A44" t="s">
        <v>229</v>
      </c>
      <c r="B44" t="s">
        <v>105</v>
      </c>
      <c r="C44" t="s">
        <v>75</v>
      </c>
      <c r="D44" t="s">
        <v>81</v>
      </c>
      <c r="E44" t="s">
        <v>107</v>
      </c>
      <c r="F44" t="s">
        <v>106</v>
      </c>
      <c r="G44" t="s">
        <v>0</v>
      </c>
      <c r="H44" t="s">
        <v>2</v>
      </c>
      <c r="I44" t="s">
        <v>77</v>
      </c>
      <c r="J44" t="s">
        <v>82</v>
      </c>
      <c r="K44" t="s">
        <v>165</v>
      </c>
      <c r="L44" t="s">
        <v>218</v>
      </c>
      <c r="P44" t="s">
        <v>277</v>
      </c>
      <c r="Q44" s="6">
        <v>37496</v>
      </c>
    </row>
    <row r="45" spans="1:17" x14ac:dyDescent="0.3">
      <c r="B45">
        <f ca="1">DATEDIF(VLOOKUP(B44,$P$18:$Q$100,2,FALSE),TODAY(),"Y")</f>
        <v>17</v>
      </c>
      <c r="C45">
        <f t="shared" ref="C45:L45" ca="1" si="14">DATEDIF(VLOOKUP(C44,$P$18:$Q$100,2,FALSE),TODAY(),"Y")</f>
        <v>18</v>
      </c>
      <c r="D45">
        <f t="shared" ca="1" si="14"/>
        <v>19</v>
      </c>
      <c r="E45">
        <f t="shared" ca="1" si="14"/>
        <v>21</v>
      </c>
      <c r="F45">
        <f t="shared" ca="1" si="14"/>
        <v>17</v>
      </c>
      <c r="G45">
        <f t="shared" ca="1" si="14"/>
        <v>18</v>
      </c>
      <c r="H45">
        <f t="shared" ca="1" si="14"/>
        <v>21</v>
      </c>
      <c r="I45">
        <f t="shared" ca="1" si="14"/>
        <v>19</v>
      </c>
      <c r="J45">
        <f t="shared" ca="1" si="14"/>
        <v>18</v>
      </c>
      <c r="K45">
        <f t="shared" ca="1" si="14"/>
        <v>18</v>
      </c>
      <c r="L45">
        <f t="shared" ca="1" si="14"/>
        <v>19</v>
      </c>
      <c r="N45" s="1">
        <f ca="1">AVERAGE(B45:M45)</f>
        <v>18.636363636363637</v>
      </c>
      <c r="P45" t="s">
        <v>278</v>
      </c>
      <c r="Q45" s="6">
        <v>37129</v>
      </c>
    </row>
    <row r="46" spans="1:17" x14ac:dyDescent="0.3">
      <c r="P46" t="s">
        <v>279</v>
      </c>
      <c r="Q46" s="6">
        <v>37139</v>
      </c>
    </row>
    <row r="47" spans="1:17" x14ac:dyDescent="0.3">
      <c r="A47" t="s">
        <v>4</v>
      </c>
      <c r="B47" t="s">
        <v>278</v>
      </c>
      <c r="C47" t="s">
        <v>75</v>
      </c>
      <c r="D47" t="s">
        <v>81</v>
      </c>
      <c r="E47" t="s">
        <v>107</v>
      </c>
      <c r="F47" t="s">
        <v>1</v>
      </c>
      <c r="G47" t="s">
        <v>0</v>
      </c>
      <c r="H47" t="s">
        <v>190</v>
      </c>
      <c r="I47" t="s">
        <v>260</v>
      </c>
      <c r="J47" t="s">
        <v>82</v>
      </c>
      <c r="K47" t="s">
        <v>165</v>
      </c>
      <c r="L47" t="s">
        <v>279</v>
      </c>
      <c r="P47" t="s">
        <v>280</v>
      </c>
      <c r="Q47" s="6">
        <v>39613</v>
      </c>
    </row>
    <row r="48" spans="1:17" x14ac:dyDescent="0.3">
      <c r="B48">
        <f ca="1">DATEDIF(VLOOKUP(B47,$P$18:$Q$100,2,FALSE),TODAY(),"Y")</f>
        <v>24</v>
      </c>
      <c r="C48">
        <f t="shared" ref="C48:L48" ca="1" si="15">DATEDIF(VLOOKUP(C47,$P$18:$Q$100,2,FALSE),TODAY(),"Y")</f>
        <v>18</v>
      </c>
      <c r="D48">
        <f t="shared" ca="1" si="15"/>
        <v>19</v>
      </c>
      <c r="E48">
        <f t="shared" ca="1" si="15"/>
        <v>21</v>
      </c>
      <c r="F48">
        <f t="shared" ca="1" si="15"/>
        <v>20</v>
      </c>
      <c r="G48">
        <f t="shared" ca="1" si="15"/>
        <v>18</v>
      </c>
      <c r="H48">
        <f t="shared" ca="1" si="15"/>
        <v>18</v>
      </c>
      <c r="I48">
        <f t="shared" ca="1" si="15"/>
        <v>17</v>
      </c>
      <c r="J48">
        <f t="shared" ca="1" si="15"/>
        <v>18</v>
      </c>
      <c r="K48">
        <f t="shared" ca="1" si="15"/>
        <v>18</v>
      </c>
      <c r="L48">
        <f t="shared" ca="1" si="15"/>
        <v>24</v>
      </c>
      <c r="N48" s="1">
        <f ca="1">AVERAGE(B48:M48)</f>
        <v>19.545454545454547</v>
      </c>
      <c r="P48" t="s">
        <v>281</v>
      </c>
      <c r="Q48" s="6">
        <v>39468</v>
      </c>
    </row>
    <row r="49" spans="1:17" x14ac:dyDescent="0.3">
      <c r="P49" t="s">
        <v>282</v>
      </c>
      <c r="Q49" s="6">
        <v>38486</v>
      </c>
    </row>
    <row r="50" spans="1:17" x14ac:dyDescent="0.3">
      <c r="A50" t="s">
        <v>84</v>
      </c>
      <c r="B50" t="s">
        <v>293</v>
      </c>
      <c r="C50" t="s">
        <v>283</v>
      </c>
      <c r="D50" t="s">
        <v>218</v>
      </c>
      <c r="E50" t="s">
        <v>107</v>
      </c>
      <c r="F50" t="s">
        <v>1</v>
      </c>
      <c r="G50" t="s">
        <v>0</v>
      </c>
      <c r="H50" t="s">
        <v>2</v>
      </c>
      <c r="I50" t="s">
        <v>260</v>
      </c>
      <c r="J50" t="s">
        <v>82</v>
      </c>
      <c r="K50" t="s">
        <v>165</v>
      </c>
      <c r="L50" t="s">
        <v>279</v>
      </c>
      <c r="P50" t="s">
        <v>283</v>
      </c>
      <c r="Q50" s="6">
        <v>38422</v>
      </c>
    </row>
    <row r="51" spans="1:17" x14ac:dyDescent="0.3">
      <c r="B51">
        <f ca="1">DATEDIF(VLOOKUP(B50,$P$18:$Q$100,2,FALSE),TODAY(),"Y")</f>
        <v>21</v>
      </c>
      <c r="C51">
        <f t="shared" ref="C51:L51" ca="1" si="16">DATEDIF(VLOOKUP(C50,$P$18:$Q$100,2,FALSE),TODAY(),"Y")</f>
        <v>21</v>
      </c>
      <c r="D51">
        <f t="shared" ca="1" si="16"/>
        <v>19</v>
      </c>
      <c r="E51">
        <f t="shared" ca="1" si="16"/>
        <v>21</v>
      </c>
      <c r="F51">
        <f t="shared" ca="1" si="16"/>
        <v>20</v>
      </c>
      <c r="G51">
        <f t="shared" ca="1" si="16"/>
        <v>18</v>
      </c>
      <c r="H51">
        <f t="shared" ca="1" si="16"/>
        <v>21</v>
      </c>
      <c r="I51">
        <f t="shared" ca="1" si="16"/>
        <v>17</v>
      </c>
      <c r="J51">
        <f t="shared" ca="1" si="16"/>
        <v>18</v>
      </c>
      <c r="K51">
        <f t="shared" ca="1" si="16"/>
        <v>18</v>
      </c>
      <c r="L51">
        <f t="shared" ca="1" si="16"/>
        <v>24</v>
      </c>
      <c r="N51" s="1">
        <f ca="1">AVERAGE(B51:M51)</f>
        <v>19.818181818181817</v>
      </c>
      <c r="P51" t="s">
        <v>293</v>
      </c>
      <c r="Q51" s="6">
        <v>38384</v>
      </c>
    </row>
    <row r="52" spans="1:17" x14ac:dyDescent="0.3">
      <c r="P52" t="s">
        <v>301</v>
      </c>
      <c r="Q52" s="6">
        <v>38569</v>
      </c>
    </row>
    <row r="53" spans="1:17" x14ac:dyDescent="0.3">
      <c r="A53" t="s">
        <v>16</v>
      </c>
      <c r="B53" t="s">
        <v>293</v>
      </c>
      <c r="C53" t="s">
        <v>283</v>
      </c>
      <c r="D53" t="s">
        <v>81</v>
      </c>
      <c r="E53" t="s">
        <v>282</v>
      </c>
      <c r="F53" t="s">
        <v>1</v>
      </c>
      <c r="G53" t="s">
        <v>0</v>
      </c>
      <c r="H53" t="s">
        <v>2</v>
      </c>
      <c r="I53" t="s">
        <v>277</v>
      </c>
      <c r="J53" t="s">
        <v>82</v>
      </c>
      <c r="K53" t="s">
        <v>75</v>
      </c>
      <c r="L53" t="s">
        <v>279</v>
      </c>
      <c r="P53" t="s">
        <v>312</v>
      </c>
      <c r="Q53" s="6">
        <v>34902</v>
      </c>
    </row>
    <row r="54" spans="1:17" x14ac:dyDescent="0.3">
      <c r="B54">
        <f ca="1">DATEDIF(VLOOKUP(B53,$P$18:$Q$100,2,FALSE),TODAY(),"Y")</f>
        <v>21</v>
      </c>
      <c r="C54">
        <f t="shared" ref="C54:L54" ca="1" si="17">DATEDIF(VLOOKUP(C53,$P$18:$Q$100,2,FALSE),TODAY(),"Y")</f>
        <v>21</v>
      </c>
      <c r="D54">
        <f t="shared" ca="1" si="17"/>
        <v>19</v>
      </c>
      <c r="E54">
        <f t="shared" ca="1" si="17"/>
        <v>21</v>
      </c>
      <c r="F54">
        <f t="shared" ca="1" si="17"/>
        <v>20</v>
      </c>
      <c r="G54">
        <f t="shared" ca="1" si="17"/>
        <v>18</v>
      </c>
      <c r="H54">
        <f t="shared" ca="1" si="17"/>
        <v>21</v>
      </c>
      <c r="I54">
        <f t="shared" ca="1" si="17"/>
        <v>23</v>
      </c>
      <c r="J54">
        <f t="shared" ca="1" si="17"/>
        <v>18</v>
      </c>
      <c r="K54">
        <f t="shared" ca="1" si="17"/>
        <v>18</v>
      </c>
      <c r="L54">
        <f t="shared" ca="1" si="17"/>
        <v>24</v>
      </c>
      <c r="N54" s="1">
        <f ca="1">AVERAGE(B54:M54)</f>
        <v>20.363636363636363</v>
      </c>
      <c r="P54" t="s">
        <v>321</v>
      </c>
      <c r="Q54" s="6">
        <v>32928</v>
      </c>
    </row>
    <row r="55" spans="1:17" x14ac:dyDescent="0.3">
      <c r="P55" t="s">
        <v>322</v>
      </c>
      <c r="Q55" s="6">
        <v>39743</v>
      </c>
    </row>
    <row r="56" spans="1:17" x14ac:dyDescent="0.3">
      <c r="A56" t="s">
        <v>164</v>
      </c>
      <c r="B56" t="s">
        <v>189</v>
      </c>
      <c r="C56" t="s">
        <v>283</v>
      </c>
      <c r="D56" t="s">
        <v>81</v>
      </c>
      <c r="E56" t="s">
        <v>190</v>
      </c>
      <c r="F56" t="s">
        <v>1</v>
      </c>
      <c r="G56" t="s">
        <v>0</v>
      </c>
      <c r="H56" t="s">
        <v>2</v>
      </c>
      <c r="I56" t="s">
        <v>165</v>
      </c>
      <c r="J56" t="s">
        <v>82</v>
      </c>
      <c r="K56" t="s">
        <v>75</v>
      </c>
      <c r="L56" t="s">
        <v>279</v>
      </c>
      <c r="P56" t="s">
        <v>330</v>
      </c>
      <c r="Q56" s="6">
        <v>39773</v>
      </c>
    </row>
    <row r="57" spans="1:17" x14ac:dyDescent="0.3">
      <c r="B57">
        <f ca="1">DATEDIF(VLOOKUP(B56,$P$18:$Q$100,2,FALSE),TODAY(),"Y")</f>
        <v>19</v>
      </c>
      <c r="C57">
        <f t="shared" ref="C57:L57" ca="1" si="18">DATEDIF(VLOOKUP(C56,$P$18:$Q$100,2,FALSE),TODAY(),"Y")</f>
        <v>21</v>
      </c>
      <c r="D57">
        <f t="shared" ca="1" si="18"/>
        <v>19</v>
      </c>
      <c r="E57">
        <f t="shared" ca="1" si="18"/>
        <v>18</v>
      </c>
      <c r="F57">
        <f t="shared" ca="1" si="18"/>
        <v>20</v>
      </c>
      <c r="G57">
        <f t="shared" ca="1" si="18"/>
        <v>18</v>
      </c>
      <c r="H57">
        <f t="shared" ca="1" si="18"/>
        <v>21</v>
      </c>
      <c r="I57">
        <f t="shared" ca="1" si="18"/>
        <v>18</v>
      </c>
      <c r="J57">
        <f t="shared" ca="1" si="18"/>
        <v>18</v>
      </c>
      <c r="K57">
        <f t="shared" ca="1" si="18"/>
        <v>18</v>
      </c>
      <c r="L57">
        <f t="shared" ca="1" si="18"/>
        <v>24</v>
      </c>
      <c r="N57" s="1">
        <f ca="1">AVERAGE(B57:M57)</f>
        <v>19.454545454545453</v>
      </c>
      <c r="P57" t="s">
        <v>336</v>
      </c>
      <c r="Q57" s="6">
        <v>39824</v>
      </c>
    </row>
    <row r="59" spans="1:17" x14ac:dyDescent="0.3">
      <c r="A59" t="s">
        <v>15</v>
      </c>
      <c r="B59" t="s">
        <v>293</v>
      </c>
      <c r="C59" t="s">
        <v>283</v>
      </c>
      <c r="D59" t="s">
        <v>81</v>
      </c>
      <c r="E59" t="s">
        <v>312</v>
      </c>
      <c r="F59" t="s">
        <v>1</v>
      </c>
      <c r="G59" t="s">
        <v>0</v>
      </c>
      <c r="H59" t="s">
        <v>2</v>
      </c>
      <c r="I59" t="s">
        <v>311</v>
      </c>
      <c r="J59" t="s">
        <v>82</v>
      </c>
      <c r="K59" t="s">
        <v>160</v>
      </c>
      <c r="L59" t="s">
        <v>279</v>
      </c>
    </row>
    <row r="60" spans="1:17" x14ac:dyDescent="0.3">
      <c r="B60">
        <f ca="1">DATEDIF(VLOOKUP(B59,$P$18:$Q$100,2,FALSE),TODAY(),"Y")</f>
        <v>21</v>
      </c>
      <c r="C60">
        <f t="shared" ref="C60:L60" ca="1" si="19">DATEDIF(VLOOKUP(C59,$P$18:$Q$100,2,FALSE),TODAY(),"Y")</f>
        <v>21</v>
      </c>
      <c r="D60">
        <f t="shared" ca="1" si="19"/>
        <v>19</v>
      </c>
      <c r="E60">
        <f t="shared" ca="1" si="19"/>
        <v>30</v>
      </c>
      <c r="F60">
        <f t="shared" ca="1" si="19"/>
        <v>20</v>
      </c>
      <c r="G60">
        <f t="shared" ca="1" si="19"/>
        <v>18</v>
      </c>
      <c r="H60">
        <f t="shared" ca="1" si="19"/>
        <v>21</v>
      </c>
      <c r="I60">
        <f t="shared" ca="1" si="19"/>
        <v>18</v>
      </c>
      <c r="J60">
        <f t="shared" ca="1" si="19"/>
        <v>18</v>
      </c>
      <c r="K60">
        <f t="shared" ca="1" si="19"/>
        <v>33</v>
      </c>
      <c r="L60">
        <f t="shared" ca="1" si="19"/>
        <v>24</v>
      </c>
      <c r="N60" s="1">
        <f ca="1">AVERAGE(B60:M60)</f>
        <v>22.09090909090909</v>
      </c>
    </row>
    <row r="62" spans="1:17" x14ac:dyDescent="0.3">
      <c r="A62" t="s">
        <v>112</v>
      </c>
      <c r="B62" t="s">
        <v>278</v>
      </c>
      <c r="C62" t="s">
        <v>283</v>
      </c>
      <c r="D62" t="s">
        <v>81</v>
      </c>
      <c r="E62" t="s">
        <v>312</v>
      </c>
      <c r="F62" t="s">
        <v>277</v>
      </c>
      <c r="G62" t="s">
        <v>0</v>
      </c>
      <c r="H62" t="s">
        <v>2</v>
      </c>
      <c r="I62" t="s">
        <v>311</v>
      </c>
      <c r="J62" t="s">
        <v>82</v>
      </c>
      <c r="K62" t="s">
        <v>282</v>
      </c>
      <c r="L62" t="s">
        <v>279</v>
      </c>
    </row>
    <row r="63" spans="1:17" x14ac:dyDescent="0.3">
      <c r="B63">
        <f ca="1">DATEDIF(VLOOKUP(B62,$P$18:$Q$100,2,FALSE),TODAY(),"Y")</f>
        <v>24</v>
      </c>
      <c r="C63">
        <f t="shared" ref="C63:L63" ca="1" si="20">DATEDIF(VLOOKUP(C62,$P$18:$Q$100,2,FALSE),TODAY(),"Y")</f>
        <v>21</v>
      </c>
      <c r="D63">
        <f t="shared" ca="1" si="20"/>
        <v>19</v>
      </c>
      <c r="E63">
        <f t="shared" ca="1" si="20"/>
        <v>30</v>
      </c>
      <c r="F63">
        <f t="shared" ca="1" si="20"/>
        <v>23</v>
      </c>
      <c r="G63">
        <f t="shared" ca="1" si="20"/>
        <v>18</v>
      </c>
      <c r="H63">
        <f t="shared" ca="1" si="20"/>
        <v>21</v>
      </c>
      <c r="I63">
        <f t="shared" ca="1" si="20"/>
        <v>18</v>
      </c>
      <c r="J63">
        <f t="shared" ca="1" si="20"/>
        <v>18</v>
      </c>
      <c r="K63">
        <f t="shared" ca="1" si="20"/>
        <v>21</v>
      </c>
      <c r="L63">
        <f t="shared" ca="1" si="20"/>
        <v>24</v>
      </c>
      <c r="N63" s="1">
        <f ca="1">AVERAGE(B63:M63)</f>
        <v>21.545454545454547</v>
      </c>
    </row>
    <row r="65" spans="1:14" x14ac:dyDescent="0.3">
      <c r="A65" t="s">
        <v>194</v>
      </c>
      <c r="B65" t="s">
        <v>278</v>
      </c>
      <c r="C65" t="s">
        <v>283</v>
      </c>
      <c r="D65" t="s">
        <v>321</v>
      </c>
      <c r="E65" t="s">
        <v>312</v>
      </c>
      <c r="F65" t="s">
        <v>277</v>
      </c>
      <c r="G65" t="s">
        <v>0</v>
      </c>
      <c r="H65" t="s">
        <v>2</v>
      </c>
      <c r="I65" t="s">
        <v>301</v>
      </c>
      <c r="J65" t="s">
        <v>82</v>
      </c>
      <c r="K65" t="s">
        <v>218</v>
      </c>
      <c r="L65" t="s">
        <v>279</v>
      </c>
    </row>
    <row r="66" spans="1:14" x14ac:dyDescent="0.3">
      <c r="B66">
        <f ca="1">DATEDIF(VLOOKUP(B65,$P$18:$Q$100,2,FALSE),TODAY(),"Y")</f>
        <v>24</v>
      </c>
      <c r="C66">
        <f t="shared" ref="C66:L66" ca="1" si="21">DATEDIF(VLOOKUP(C65,$P$18:$Q$100,2,FALSE),TODAY(),"Y")</f>
        <v>21</v>
      </c>
      <c r="D66">
        <f t="shared" ca="1" si="21"/>
        <v>36</v>
      </c>
      <c r="E66">
        <f t="shared" ca="1" si="21"/>
        <v>30</v>
      </c>
      <c r="F66">
        <f t="shared" ca="1" si="21"/>
        <v>23</v>
      </c>
      <c r="G66">
        <f t="shared" ca="1" si="21"/>
        <v>18</v>
      </c>
      <c r="H66">
        <f t="shared" ca="1" si="21"/>
        <v>21</v>
      </c>
      <c r="I66">
        <f t="shared" ca="1" si="21"/>
        <v>20</v>
      </c>
      <c r="J66">
        <f t="shared" ca="1" si="21"/>
        <v>18</v>
      </c>
      <c r="K66">
        <f t="shared" ca="1" si="21"/>
        <v>19</v>
      </c>
      <c r="L66">
        <f t="shared" ca="1" si="21"/>
        <v>24</v>
      </c>
      <c r="N66" s="1">
        <f ca="1">AVERAGE(B66:M66)</f>
        <v>23.09090909090909</v>
      </c>
    </row>
    <row r="68" spans="1:14" x14ac:dyDescent="0.3">
      <c r="A68" t="s">
        <v>102</v>
      </c>
      <c r="B68" t="s">
        <v>293</v>
      </c>
      <c r="C68" t="s">
        <v>283</v>
      </c>
      <c r="D68" t="s">
        <v>81</v>
      </c>
      <c r="E68" t="s">
        <v>330</v>
      </c>
      <c r="F68" t="s">
        <v>322</v>
      </c>
      <c r="G68" t="s">
        <v>0</v>
      </c>
      <c r="H68" t="s">
        <v>190</v>
      </c>
      <c r="I68" t="s">
        <v>280</v>
      </c>
      <c r="J68" t="s">
        <v>82</v>
      </c>
      <c r="K68" t="s">
        <v>260</v>
      </c>
      <c r="L68" t="s">
        <v>279</v>
      </c>
    </row>
    <row r="69" spans="1:14" x14ac:dyDescent="0.3">
      <c r="B69">
        <f ca="1">DATEDIF(VLOOKUP(B68,$P$18:$Q$100,2,FALSE),TODAY(),"Y")</f>
        <v>21</v>
      </c>
      <c r="C69">
        <f t="shared" ref="C69:L69" ca="1" si="22">DATEDIF(VLOOKUP(C68,$P$18:$Q$100,2,FALSE),TODAY(),"Y")</f>
        <v>21</v>
      </c>
      <c r="D69">
        <f t="shared" ca="1" si="22"/>
        <v>19</v>
      </c>
      <c r="E69">
        <f t="shared" ca="1" si="22"/>
        <v>17</v>
      </c>
      <c r="F69">
        <f t="shared" ca="1" si="22"/>
        <v>17</v>
      </c>
      <c r="G69">
        <f t="shared" ca="1" si="22"/>
        <v>18</v>
      </c>
      <c r="H69">
        <f t="shared" ca="1" si="22"/>
        <v>18</v>
      </c>
      <c r="I69">
        <f t="shared" ca="1" si="22"/>
        <v>17</v>
      </c>
      <c r="J69">
        <f t="shared" ca="1" si="22"/>
        <v>18</v>
      </c>
      <c r="K69">
        <f t="shared" ca="1" si="22"/>
        <v>17</v>
      </c>
      <c r="L69">
        <f t="shared" ca="1" si="22"/>
        <v>24</v>
      </c>
      <c r="N69" s="1">
        <f ca="1">AVERAGE(B69:M69)</f>
        <v>18.818181818181817</v>
      </c>
    </row>
    <row r="71" spans="1:14" x14ac:dyDescent="0.3">
      <c r="A71" t="s">
        <v>149</v>
      </c>
      <c r="B71" t="s">
        <v>278</v>
      </c>
      <c r="C71" t="s">
        <v>283</v>
      </c>
      <c r="D71" t="s">
        <v>81</v>
      </c>
      <c r="E71" t="s">
        <v>106</v>
      </c>
      <c r="F71" t="s">
        <v>322</v>
      </c>
      <c r="G71" t="s">
        <v>0</v>
      </c>
      <c r="H71" t="s">
        <v>190</v>
      </c>
      <c r="I71" t="s">
        <v>282</v>
      </c>
      <c r="J71" t="s">
        <v>82</v>
      </c>
      <c r="K71" t="s">
        <v>107</v>
      </c>
      <c r="L71" t="s">
        <v>279</v>
      </c>
    </row>
    <row r="72" spans="1:14" x14ac:dyDescent="0.3">
      <c r="B72">
        <f ca="1">DATEDIF(VLOOKUP(B71,$P$18:$Q$100,2,FALSE),TODAY(),"Y")</f>
        <v>24</v>
      </c>
      <c r="C72">
        <f t="shared" ref="C72:L72" ca="1" si="23">DATEDIF(VLOOKUP(C71,$P$18:$Q$100,2,FALSE),TODAY(),"Y")</f>
        <v>21</v>
      </c>
      <c r="D72">
        <f t="shared" ca="1" si="23"/>
        <v>19</v>
      </c>
      <c r="E72">
        <f t="shared" ca="1" si="23"/>
        <v>17</v>
      </c>
      <c r="F72">
        <f t="shared" ca="1" si="23"/>
        <v>17</v>
      </c>
      <c r="G72">
        <f t="shared" ca="1" si="23"/>
        <v>18</v>
      </c>
      <c r="H72">
        <f t="shared" ca="1" si="23"/>
        <v>18</v>
      </c>
      <c r="I72">
        <f t="shared" ca="1" si="23"/>
        <v>21</v>
      </c>
      <c r="J72">
        <f t="shared" ca="1" si="23"/>
        <v>18</v>
      </c>
      <c r="K72">
        <f t="shared" ca="1" si="23"/>
        <v>21</v>
      </c>
      <c r="L72">
        <f t="shared" ca="1" si="23"/>
        <v>24</v>
      </c>
      <c r="N72" s="1">
        <f ca="1">AVERAGE(B72:M72)</f>
        <v>19.818181818181817</v>
      </c>
    </row>
    <row r="74" spans="1:14" x14ac:dyDescent="0.3">
      <c r="A74" t="s">
        <v>166</v>
      </c>
      <c r="B74" t="s">
        <v>293</v>
      </c>
      <c r="C74" t="s">
        <v>283</v>
      </c>
      <c r="D74" t="s">
        <v>336</v>
      </c>
      <c r="E74" t="s">
        <v>106</v>
      </c>
      <c r="F74" t="s">
        <v>322</v>
      </c>
      <c r="G74" t="s">
        <v>0</v>
      </c>
      <c r="H74" t="s">
        <v>190</v>
      </c>
      <c r="I74" t="s">
        <v>1</v>
      </c>
      <c r="J74" t="s">
        <v>82</v>
      </c>
      <c r="K74" t="s">
        <v>107</v>
      </c>
      <c r="L74" t="s">
        <v>279</v>
      </c>
    </row>
    <row r="75" spans="1:14" x14ac:dyDescent="0.3">
      <c r="B75">
        <f ca="1">DATEDIF(VLOOKUP(B74,$P$18:$Q$100,2,FALSE),TODAY(),"Y")</f>
        <v>21</v>
      </c>
      <c r="C75">
        <f t="shared" ref="C75:L75" ca="1" si="24">DATEDIF(VLOOKUP(C74,$P$18:$Q$100,2,FALSE),TODAY(),"Y")</f>
        <v>21</v>
      </c>
      <c r="D75">
        <f t="shared" ca="1" si="24"/>
        <v>17</v>
      </c>
      <c r="E75">
        <f t="shared" ca="1" si="24"/>
        <v>17</v>
      </c>
      <c r="F75">
        <f t="shared" ca="1" si="24"/>
        <v>17</v>
      </c>
      <c r="G75">
        <f t="shared" ca="1" si="24"/>
        <v>18</v>
      </c>
      <c r="H75">
        <f t="shared" ca="1" si="24"/>
        <v>18</v>
      </c>
      <c r="I75">
        <f t="shared" ca="1" si="24"/>
        <v>20</v>
      </c>
      <c r="J75">
        <f t="shared" ca="1" si="24"/>
        <v>18</v>
      </c>
      <c r="K75">
        <f t="shared" ca="1" si="24"/>
        <v>21</v>
      </c>
      <c r="L75">
        <f t="shared" ca="1" si="24"/>
        <v>24</v>
      </c>
      <c r="N75" s="1">
        <f ca="1">AVERAGE(B75:M75)</f>
        <v>19.272727272727273</v>
      </c>
    </row>
    <row r="77" spans="1:14" x14ac:dyDescent="0.3">
      <c r="A77" t="s">
        <v>174</v>
      </c>
      <c r="B77" t="s">
        <v>278</v>
      </c>
      <c r="C77" t="s">
        <v>277</v>
      </c>
      <c r="D77" t="s">
        <v>336</v>
      </c>
      <c r="E77" t="s">
        <v>106</v>
      </c>
      <c r="F77" t="s">
        <v>322</v>
      </c>
      <c r="G77" t="s">
        <v>0</v>
      </c>
      <c r="H77" t="s">
        <v>311</v>
      </c>
      <c r="I77" t="s">
        <v>1</v>
      </c>
      <c r="J77" t="s">
        <v>82</v>
      </c>
      <c r="K77" t="s">
        <v>107</v>
      </c>
      <c r="L77" t="s">
        <v>279</v>
      </c>
    </row>
    <row r="78" spans="1:14" x14ac:dyDescent="0.3">
      <c r="B78">
        <f ca="1">DATEDIF(VLOOKUP(B77,$P$18:$Q$100,2,FALSE),TODAY(),"Y")</f>
        <v>24</v>
      </c>
      <c r="C78">
        <f t="shared" ref="C78:L78" ca="1" si="25">DATEDIF(VLOOKUP(C77,$P$18:$Q$100,2,FALSE),TODAY(),"Y")</f>
        <v>23</v>
      </c>
      <c r="D78">
        <f t="shared" ca="1" si="25"/>
        <v>17</v>
      </c>
      <c r="E78">
        <f t="shared" ca="1" si="25"/>
        <v>17</v>
      </c>
      <c r="F78">
        <f t="shared" ca="1" si="25"/>
        <v>17</v>
      </c>
      <c r="G78">
        <f t="shared" ca="1" si="25"/>
        <v>18</v>
      </c>
      <c r="H78">
        <f t="shared" ca="1" si="25"/>
        <v>18</v>
      </c>
      <c r="I78">
        <f t="shared" ca="1" si="25"/>
        <v>20</v>
      </c>
      <c r="J78">
        <f t="shared" ca="1" si="25"/>
        <v>18</v>
      </c>
      <c r="K78">
        <f t="shared" ca="1" si="25"/>
        <v>21</v>
      </c>
      <c r="L78">
        <f t="shared" ca="1" si="25"/>
        <v>24</v>
      </c>
      <c r="N78" s="1">
        <f ca="1">AVERAGE(B78:M78)</f>
        <v>19.727272727272727</v>
      </c>
    </row>
    <row r="80" spans="1:14" x14ac:dyDescent="0.3">
      <c r="A80" t="s">
        <v>191</v>
      </c>
      <c r="B80" t="s">
        <v>189</v>
      </c>
      <c r="C80" t="s">
        <v>81</v>
      </c>
      <c r="D80" t="s">
        <v>336</v>
      </c>
      <c r="E80" t="s">
        <v>0</v>
      </c>
      <c r="F80" t="s">
        <v>330</v>
      </c>
      <c r="G80" t="s">
        <v>2</v>
      </c>
      <c r="H80" t="s">
        <v>190</v>
      </c>
      <c r="I80" t="s">
        <v>280</v>
      </c>
      <c r="J80" t="s">
        <v>82</v>
      </c>
      <c r="K80" t="s">
        <v>107</v>
      </c>
      <c r="L80" t="s">
        <v>279</v>
      </c>
    </row>
    <row r="81" spans="2:14" x14ac:dyDescent="0.3">
      <c r="B81">
        <f ca="1">DATEDIF(VLOOKUP(B80,$P$18:$Q$100,2,FALSE),TODAY(),"Y")</f>
        <v>19</v>
      </c>
      <c r="C81">
        <f t="shared" ref="C81:L81" ca="1" si="26">DATEDIF(VLOOKUP(C80,$P$18:$Q$100,2,FALSE),TODAY(),"Y")</f>
        <v>19</v>
      </c>
      <c r="D81">
        <f t="shared" ca="1" si="26"/>
        <v>17</v>
      </c>
      <c r="E81">
        <f t="shared" ca="1" si="26"/>
        <v>18</v>
      </c>
      <c r="F81">
        <f t="shared" ca="1" si="26"/>
        <v>17</v>
      </c>
      <c r="G81">
        <f t="shared" ca="1" si="26"/>
        <v>21</v>
      </c>
      <c r="H81">
        <f t="shared" ca="1" si="26"/>
        <v>18</v>
      </c>
      <c r="I81">
        <f t="shared" ca="1" si="26"/>
        <v>17</v>
      </c>
      <c r="J81">
        <f t="shared" ca="1" si="26"/>
        <v>18</v>
      </c>
      <c r="K81">
        <f t="shared" ca="1" si="26"/>
        <v>21</v>
      </c>
      <c r="L81">
        <f t="shared" ca="1" si="26"/>
        <v>24</v>
      </c>
      <c r="N81" s="1">
        <f ca="1">AVERAGE(B81:M81)</f>
        <v>19</v>
      </c>
    </row>
  </sheetData>
  <pageMargins left="0.7" right="0.7" top="0.78740157499999996" bottom="0.78740157499999996" header="0.3" footer="0.3"/>
  <pageSetup paperSize="9" orientation="portrait" r:id="rId1"/>
  <headerFooter>
    <oddHeader>&amp;R&amp;"Calibri"&amp;12&amp;K000000 Confidential&amp;1#_x000D_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32A2-00C7-4FEB-881B-6BCBCF658A7A}">
  <dimension ref="A1:T81"/>
  <sheetViews>
    <sheetView topLeftCell="A18" zoomScaleNormal="100" workbookViewId="0">
      <selection activeCell="P19" sqref="P19:P54"/>
    </sheetView>
  </sheetViews>
  <sheetFormatPr baseColWidth="10" defaultRowHeight="14.4" x14ac:dyDescent="0.3"/>
  <cols>
    <col min="1" max="1" width="16.5546875" bestFit="1" customWidth="1"/>
    <col min="6" max="6" width="12.33203125" bestFit="1" customWidth="1"/>
    <col min="8" max="8" width="12.33203125" bestFit="1" customWidth="1"/>
    <col min="14" max="14" width="11.5546875" style="1"/>
    <col min="16" max="16" width="13.77734375" customWidth="1"/>
  </cols>
  <sheetData>
    <row r="1" spans="1:14" x14ac:dyDescent="0.3">
      <c r="N1" s="1">
        <f ca="1">AVERAGE(N3:N99)</f>
        <v>20.144781144781145</v>
      </c>
    </row>
    <row r="2" spans="1:14" x14ac:dyDescent="0.3">
      <c r="A2" t="s">
        <v>5</v>
      </c>
      <c r="B2" t="s">
        <v>85</v>
      </c>
      <c r="C2" t="s">
        <v>6</v>
      </c>
      <c r="D2" t="s">
        <v>34</v>
      </c>
      <c r="E2" t="s">
        <v>36</v>
      </c>
      <c r="F2" t="s">
        <v>7</v>
      </c>
      <c r="G2" t="s">
        <v>86</v>
      </c>
      <c r="H2" t="s">
        <v>8</v>
      </c>
      <c r="I2" t="s">
        <v>37</v>
      </c>
      <c r="J2" t="s">
        <v>35</v>
      </c>
      <c r="K2" t="s">
        <v>87</v>
      </c>
      <c r="L2" t="s">
        <v>18</v>
      </c>
    </row>
    <row r="3" spans="1:14" x14ac:dyDescent="0.3">
      <c r="B3">
        <f ca="1">DATEDIF(VLOOKUP(B2,$P$18:$Q$100,2,FALSE),TODAY(),"Y")</f>
        <v>21</v>
      </c>
      <c r="C3">
        <f t="shared" ref="C3:L3" ca="1" si="0">DATEDIF(VLOOKUP(C2,$P$18:$Q$100,2,FALSE),TODAY(),"Y")</f>
        <v>21</v>
      </c>
      <c r="D3">
        <f t="shared" ca="1" si="0"/>
        <v>20</v>
      </c>
      <c r="E3">
        <f t="shared" ca="1" si="0"/>
        <v>20</v>
      </c>
      <c r="F3">
        <f t="shared" ca="1" si="0"/>
        <v>20</v>
      </c>
      <c r="G3">
        <f t="shared" ca="1" si="0"/>
        <v>24</v>
      </c>
      <c r="H3">
        <f t="shared" ca="1" si="0"/>
        <v>20</v>
      </c>
      <c r="I3">
        <f t="shared" ca="1" si="0"/>
        <v>20</v>
      </c>
      <c r="J3">
        <f t="shared" ca="1" si="0"/>
        <v>21</v>
      </c>
      <c r="K3">
        <f t="shared" ca="1" si="0"/>
        <v>19</v>
      </c>
      <c r="L3">
        <f t="shared" ca="1" si="0"/>
        <v>20</v>
      </c>
      <c r="N3" s="1">
        <f ca="1">AVERAGE(B3:M3)</f>
        <v>20.545454545454547</v>
      </c>
    </row>
    <row r="5" spans="1:14" x14ac:dyDescent="0.3">
      <c r="A5" t="s">
        <v>102</v>
      </c>
      <c r="B5" t="s">
        <v>85</v>
      </c>
      <c r="C5" t="s">
        <v>6</v>
      </c>
      <c r="D5" t="s">
        <v>34</v>
      </c>
      <c r="E5" t="s">
        <v>36</v>
      </c>
      <c r="F5" t="s">
        <v>103</v>
      </c>
      <c r="G5" t="s">
        <v>86</v>
      </c>
      <c r="H5" t="s">
        <v>8</v>
      </c>
      <c r="I5" t="s">
        <v>37</v>
      </c>
      <c r="J5" t="s">
        <v>35</v>
      </c>
      <c r="K5" t="s">
        <v>87</v>
      </c>
      <c r="L5" t="s">
        <v>104</v>
      </c>
    </row>
    <row r="6" spans="1:14" x14ac:dyDescent="0.3">
      <c r="B6">
        <f ca="1">DATEDIF(VLOOKUP(B5,$P$18:$Q$100,2,FALSE),TODAY(),"Y")</f>
        <v>21</v>
      </c>
      <c r="C6">
        <f t="shared" ref="C6:L6" ca="1" si="1">DATEDIF(VLOOKUP(C5,$P$18:$Q$100,2,FALSE),TODAY(),"Y")</f>
        <v>21</v>
      </c>
      <c r="D6">
        <f t="shared" ca="1" si="1"/>
        <v>20</v>
      </c>
      <c r="E6">
        <f t="shared" ca="1" si="1"/>
        <v>20</v>
      </c>
      <c r="F6">
        <f t="shared" ca="1" si="1"/>
        <v>22</v>
      </c>
      <c r="G6">
        <f t="shared" ca="1" si="1"/>
        <v>24</v>
      </c>
      <c r="H6">
        <f t="shared" ca="1" si="1"/>
        <v>20</v>
      </c>
      <c r="I6">
        <f t="shared" ca="1" si="1"/>
        <v>20</v>
      </c>
      <c r="J6">
        <f t="shared" ca="1" si="1"/>
        <v>21</v>
      </c>
      <c r="K6">
        <f t="shared" ca="1" si="1"/>
        <v>19</v>
      </c>
      <c r="L6">
        <f t="shared" ca="1" si="1"/>
        <v>21</v>
      </c>
      <c r="N6" s="1">
        <f ca="1">AVERAGE(B6:M6)</f>
        <v>20.818181818181817</v>
      </c>
    </row>
    <row r="8" spans="1:14" x14ac:dyDescent="0.3">
      <c r="A8" t="s">
        <v>149</v>
      </c>
      <c r="B8" t="s">
        <v>85</v>
      </c>
      <c r="C8" t="s">
        <v>6</v>
      </c>
      <c r="D8" t="s">
        <v>34</v>
      </c>
      <c r="E8" t="s">
        <v>36</v>
      </c>
      <c r="F8" t="s">
        <v>150</v>
      </c>
      <c r="G8" t="s">
        <v>86</v>
      </c>
      <c r="H8" t="s">
        <v>8</v>
      </c>
      <c r="I8" t="s">
        <v>151</v>
      </c>
      <c r="J8" t="s">
        <v>152</v>
      </c>
      <c r="K8" t="s">
        <v>87</v>
      </c>
      <c r="L8" t="s">
        <v>18</v>
      </c>
    </row>
    <row r="9" spans="1:14" x14ac:dyDescent="0.3">
      <c r="B9">
        <f ca="1">DATEDIF(VLOOKUP(B8,$P$18:$Q$100,2,FALSE),TODAY(),"Y")</f>
        <v>21</v>
      </c>
      <c r="C9">
        <f t="shared" ref="C9:L9" ca="1" si="2">DATEDIF(VLOOKUP(C8,$P$18:$Q$100,2,FALSE),TODAY(),"Y")</f>
        <v>21</v>
      </c>
      <c r="D9">
        <f t="shared" ca="1" si="2"/>
        <v>20</v>
      </c>
      <c r="E9">
        <f t="shared" ca="1" si="2"/>
        <v>20</v>
      </c>
      <c r="F9">
        <f t="shared" ca="1" si="2"/>
        <v>20</v>
      </c>
      <c r="G9">
        <f t="shared" ca="1" si="2"/>
        <v>24</v>
      </c>
      <c r="H9">
        <f t="shared" ca="1" si="2"/>
        <v>20</v>
      </c>
      <c r="I9">
        <f t="shared" ca="1" si="2"/>
        <v>20</v>
      </c>
      <c r="J9">
        <f t="shared" ca="1" si="2"/>
        <v>21</v>
      </c>
      <c r="K9">
        <f t="shared" ca="1" si="2"/>
        <v>19</v>
      </c>
      <c r="L9">
        <f t="shared" ca="1" si="2"/>
        <v>20</v>
      </c>
      <c r="N9" s="1">
        <f ca="1">AVERAGE(B9:M9)</f>
        <v>20.545454545454547</v>
      </c>
    </row>
    <row r="11" spans="1:14" x14ac:dyDescent="0.3">
      <c r="A11" t="s">
        <v>166</v>
      </c>
      <c r="B11" t="s">
        <v>85</v>
      </c>
      <c r="C11" t="s">
        <v>6</v>
      </c>
      <c r="D11" t="s">
        <v>34</v>
      </c>
      <c r="E11" t="s">
        <v>167</v>
      </c>
      <c r="F11" t="s">
        <v>35</v>
      </c>
      <c r="G11" t="s">
        <v>168</v>
      </c>
      <c r="H11" t="s">
        <v>8</v>
      </c>
      <c r="I11" t="s">
        <v>103</v>
      </c>
      <c r="J11" t="s">
        <v>152</v>
      </c>
      <c r="K11" t="s">
        <v>87</v>
      </c>
      <c r="L11" t="s">
        <v>18</v>
      </c>
    </row>
    <row r="12" spans="1:14" x14ac:dyDescent="0.3">
      <c r="B12">
        <f ca="1">DATEDIF(VLOOKUP(B11,$P$18:$Q$100,2,FALSE),TODAY(),"Y")</f>
        <v>21</v>
      </c>
      <c r="C12">
        <f t="shared" ref="C12:L12" ca="1" si="3">DATEDIF(VLOOKUP(C11,$P$18:$Q$100,2,FALSE),TODAY(),"Y")</f>
        <v>21</v>
      </c>
      <c r="D12">
        <f t="shared" ca="1" si="3"/>
        <v>20</v>
      </c>
      <c r="E12">
        <f t="shared" ca="1" si="3"/>
        <v>19</v>
      </c>
      <c r="F12">
        <f t="shared" ca="1" si="3"/>
        <v>21</v>
      </c>
      <c r="G12">
        <f t="shared" ca="1" si="3"/>
        <v>17</v>
      </c>
      <c r="H12">
        <f t="shared" ca="1" si="3"/>
        <v>20</v>
      </c>
      <c r="I12">
        <f t="shared" ca="1" si="3"/>
        <v>22</v>
      </c>
      <c r="J12">
        <f t="shared" ca="1" si="3"/>
        <v>21</v>
      </c>
      <c r="K12">
        <f t="shared" ca="1" si="3"/>
        <v>19</v>
      </c>
      <c r="L12">
        <f t="shared" ca="1" si="3"/>
        <v>20</v>
      </c>
      <c r="N12" s="1">
        <f ca="1">AVERAGE(B12:M12)</f>
        <v>20.09090909090909</v>
      </c>
    </row>
    <row r="14" spans="1:14" x14ac:dyDescent="0.3">
      <c r="A14" t="s">
        <v>174</v>
      </c>
      <c r="B14" t="s">
        <v>85</v>
      </c>
      <c r="C14" t="s">
        <v>6</v>
      </c>
      <c r="D14" t="s">
        <v>34</v>
      </c>
      <c r="E14" t="s">
        <v>36</v>
      </c>
      <c r="F14" t="s">
        <v>35</v>
      </c>
      <c r="G14" t="s">
        <v>150</v>
      </c>
      <c r="H14" t="s">
        <v>8</v>
      </c>
      <c r="I14" t="s">
        <v>103</v>
      </c>
      <c r="J14" t="s">
        <v>151</v>
      </c>
      <c r="K14" t="s">
        <v>87</v>
      </c>
      <c r="L14" t="s">
        <v>18</v>
      </c>
    </row>
    <row r="15" spans="1:14" x14ac:dyDescent="0.3">
      <c r="B15">
        <f ca="1">DATEDIF(VLOOKUP(B14,$P$18:$Q$100,2,FALSE),TODAY(),"Y")</f>
        <v>21</v>
      </c>
      <c r="C15">
        <f t="shared" ref="C15:L15" ca="1" si="4">DATEDIF(VLOOKUP(C14,$P$18:$Q$100,2,FALSE),TODAY(),"Y")</f>
        <v>21</v>
      </c>
      <c r="D15">
        <f t="shared" ca="1" si="4"/>
        <v>20</v>
      </c>
      <c r="E15">
        <f t="shared" ca="1" si="4"/>
        <v>20</v>
      </c>
      <c r="F15">
        <f t="shared" ca="1" si="4"/>
        <v>21</v>
      </c>
      <c r="G15">
        <f t="shared" ca="1" si="4"/>
        <v>20</v>
      </c>
      <c r="H15">
        <f t="shared" ca="1" si="4"/>
        <v>20</v>
      </c>
      <c r="I15">
        <f t="shared" ca="1" si="4"/>
        <v>22</v>
      </c>
      <c r="J15">
        <f t="shared" ca="1" si="4"/>
        <v>20</v>
      </c>
      <c r="K15">
        <f t="shared" ca="1" si="4"/>
        <v>19</v>
      </c>
      <c r="L15">
        <f t="shared" ca="1" si="4"/>
        <v>20</v>
      </c>
      <c r="N15" s="1">
        <f ca="1">AVERAGE(B15:M15)</f>
        <v>20.363636363636363</v>
      </c>
    </row>
    <row r="17" spans="1:20" x14ac:dyDescent="0.3">
      <c r="A17" t="s">
        <v>191</v>
      </c>
      <c r="B17" t="s">
        <v>85</v>
      </c>
      <c r="C17" t="s">
        <v>6</v>
      </c>
      <c r="D17" t="s">
        <v>34</v>
      </c>
      <c r="E17" t="s">
        <v>36</v>
      </c>
      <c r="F17" t="s">
        <v>86</v>
      </c>
      <c r="G17" t="s">
        <v>150</v>
      </c>
      <c r="H17" t="s">
        <v>8</v>
      </c>
      <c r="I17" t="s">
        <v>37</v>
      </c>
      <c r="J17" t="s">
        <v>151</v>
      </c>
      <c r="K17" t="s">
        <v>87</v>
      </c>
      <c r="L17" t="s">
        <v>18</v>
      </c>
    </row>
    <row r="18" spans="1:20" x14ac:dyDescent="0.3">
      <c r="B18">
        <f ca="1">DATEDIF(VLOOKUP(B17,$P$18:$Q$100,2,FALSE),TODAY(),"Y")</f>
        <v>21</v>
      </c>
      <c r="C18">
        <f t="shared" ref="C18:L18" ca="1" si="5">DATEDIF(VLOOKUP(C17,$P$18:$Q$100,2,FALSE),TODAY(),"Y")</f>
        <v>21</v>
      </c>
      <c r="D18">
        <f t="shared" ca="1" si="5"/>
        <v>20</v>
      </c>
      <c r="E18">
        <f t="shared" ca="1" si="5"/>
        <v>20</v>
      </c>
      <c r="F18">
        <f t="shared" ca="1" si="5"/>
        <v>24</v>
      </c>
      <c r="G18">
        <f t="shared" ca="1" si="5"/>
        <v>20</v>
      </c>
      <c r="H18">
        <f t="shared" ca="1" si="5"/>
        <v>20</v>
      </c>
      <c r="I18">
        <f t="shared" ca="1" si="5"/>
        <v>20</v>
      </c>
      <c r="J18">
        <f t="shared" ca="1" si="5"/>
        <v>20</v>
      </c>
      <c r="K18">
        <f t="shared" ca="1" si="5"/>
        <v>19</v>
      </c>
      <c r="L18">
        <f t="shared" ca="1" si="5"/>
        <v>20</v>
      </c>
      <c r="N18" s="1">
        <f ca="1">AVERAGE(B18:M18)</f>
        <v>20.454545454545453</v>
      </c>
    </row>
    <row r="19" spans="1:20" x14ac:dyDescent="0.3">
      <c r="P19" t="s">
        <v>85</v>
      </c>
      <c r="Q19" s="6">
        <v>38475</v>
      </c>
      <c r="T19">
        <v>36</v>
      </c>
    </row>
    <row r="20" spans="1:20" x14ac:dyDescent="0.3">
      <c r="A20" t="s">
        <v>198</v>
      </c>
      <c r="B20" t="s">
        <v>85</v>
      </c>
      <c r="C20" t="s">
        <v>6</v>
      </c>
      <c r="D20" t="s">
        <v>34</v>
      </c>
      <c r="E20" t="s">
        <v>36</v>
      </c>
      <c r="F20" t="s">
        <v>86</v>
      </c>
      <c r="G20" t="s">
        <v>103</v>
      </c>
      <c r="H20" t="s">
        <v>8</v>
      </c>
      <c r="I20" t="s">
        <v>37</v>
      </c>
      <c r="J20" t="s">
        <v>151</v>
      </c>
      <c r="K20" t="s">
        <v>87</v>
      </c>
      <c r="L20" t="s">
        <v>199</v>
      </c>
      <c r="P20" t="s">
        <v>6</v>
      </c>
      <c r="Q20" s="6">
        <v>38417</v>
      </c>
    </row>
    <row r="21" spans="1:20" x14ac:dyDescent="0.3">
      <c r="B21">
        <f ca="1">DATEDIF(VLOOKUP(B20,$P$18:$Q$100,2,FALSE),TODAY(),"Y")</f>
        <v>21</v>
      </c>
      <c r="C21">
        <f t="shared" ref="C21:L21" ca="1" si="6">DATEDIF(VLOOKUP(C20,$P$18:$Q$100,2,FALSE),TODAY(),"Y")</f>
        <v>21</v>
      </c>
      <c r="D21">
        <f t="shared" ca="1" si="6"/>
        <v>20</v>
      </c>
      <c r="E21">
        <f t="shared" ca="1" si="6"/>
        <v>20</v>
      </c>
      <c r="F21">
        <f t="shared" ca="1" si="6"/>
        <v>24</v>
      </c>
      <c r="G21">
        <f t="shared" ca="1" si="6"/>
        <v>22</v>
      </c>
      <c r="H21">
        <f t="shared" ca="1" si="6"/>
        <v>20</v>
      </c>
      <c r="I21">
        <f t="shared" ca="1" si="6"/>
        <v>20</v>
      </c>
      <c r="J21">
        <f t="shared" ca="1" si="6"/>
        <v>20</v>
      </c>
      <c r="K21">
        <f t="shared" ca="1" si="6"/>
        <v>19</v>
      </c>
      <c r="L21">
        <f t="shared" ca="1" si="6"/>
        <v>19</v>
      </c>
      <c r="N21" s="1">
        <f ca="1">AVERAGE(B21:M21)</f>
        <v>20.545454545454547</v>
      </c>
      <c r="P21" t="s">
        <v>34</v>
      </c>
      <c r="Q21" s="6">
        <v>38682</v>
      </c>
    </row>
    <row r="22" spans="1:20" x14ac:dyDescent="0.3">
      <c r="P22" t="s">
        <v>36</v>
      </c>
      <c r="Q22" s="6">
        <v>38548</v>
      </c>
    </row>
    <row r="23" spans="1:20" x14ac:dyDescent="0.3">
      <c r="A23" t="s">
        <v>228</v>
      </c>
      <c r="B23" t="s">
        <v>85</v>
      </c>
      <c r="C23" t="s">
        <v>6</v>
      </c>
      <c r="D23" t="s">
        <v>34</v>
      </c>
      <c r="E23" t="s">
        <v>36</v>
      </c>
      <c r="F23" t="s">
        <v>86</v>
      </c>
      <c r="G23" t="s">
        <v>150</v>
      </c>
      <c r="H23" t="s">
        <v>8</v>
      </c>
      <c r="I23" t="s">
        <v>35</v>
      </c>
      <c r="J23" t="s">
        <v>151</v>
      </c>
      <c r="K23" t="s">
        <v>87</v>
      </c>
      <c r="L23" t="s">
        <v>18</v>
      </c>
      <c r="P23" t="s">
        <v>7</v>
      </c>
      <c r="Q23" s="6">
        <v>38727</v>
      </c>
    </row>
    <row r="24" spans="1:20" x14ac:dyDescent="0.3">
      <c r="B24">
        <f ca="1">DATEDIF(VLOOKUP(B23,$P$18:$Q$100,2,FALSE),TODAY(),"Y")</f>
        <v>21</v>
      </c>
      <c r="C24">
        <f t="shared" ref="C24:L24" ca="1" si="7">DATEDIF(VLOOKUP(C23,$P$18:$Q$100,2,FALSE),TODAY(),"Y")</f>
        <v>21</v>
      </c>
      <c r="D24">
        <f t="shared" ca="1" si="7"/>
        <v>20</v>
      </c>
      <c r="E24">
        <f t="shared" ca="1" si="7"/>
        <v>20</v>
      </c>
      <c r="F24">
        <f t="shared" ca="1" si="7"/>
        <v>24</v>
      </c>
      <c r="G24">
        <f t="shared" ca="1" si="7"/>
        <v>20</v>
      </c>
      <c r="H24">
        <f t="shared" ca="1" si="7"/>
        <v>20</v>
      </c>
      <c r="I24">
        <f t="shared" ca="1" si="7"/>
        <v>21</v>
      </c>
      <c r="J24">
        <f t="shared" ca="1" si="7"/>
        <v>20</v>
      </c>
      <c r="K24">
        <f t="shared" ca="1" si="7"/>
        <v>19</v>
      </c>
      <c r="L24">
        <f t="shared" ca="1" si="7"/>
        <v>20</v>
      </c>
      <c r="N24" s="1">
        <f ca="1">AVERAGE(B24:M24)</f>
        <v>20.545454545454547</v>
      </c>
      <c r="P24" t="s">
        <v>86</v>
      </c>
      <c r="Q24" s="6">
        <v>37276</v>
      </c>
    </row>
    <row r="25" spans="1:20" x14ac:dyDescent="0.3">
      <c r="P25" t="s">
        <v>8</v>
      </c>
      <c r="Q25" s="6">
        <v>38694</v>
      </c>
    </row>
    <row r="26" spans="1:20" x14ac:dyDescent="0.3">
      <c r="A26" t="s">
        <v>229</v>
      </c>
      <c r="B26" t="s">
        <v>85</v>
      </c>
      <c r="C26" t="s">
        <v>6</v>
      </c>
      <c r="D26" t="s">
        <v>34</v>
      </c>
      <c r="E26" t="s">
        <v>36</v>
      </c>
      <c r="F26" t="s">
        <v>86</v>
      </c>
      <c r="G26" t="s">
        <v>150</v>
      </c>
      <c r="H26" t="s">
        <v>8</v>
      </c>
      <c r="I26" t="s">
        <v>35</v>
      </c>
      <c r="J26" t="s">
        <v>103</v>
      </c>
      <c r="K26" t="s">
        <v>87</v>
      </c>
      <c r="L26" t="s">
        <v>18</v>
      </c>
      <c r="P26" t="s">
        <v>37</v>
      </c>
      <c r="Q26" s="6">
        <v>38819</v>
      </c>
    </row>
    <row r="27" spans="1:20" x14ac:dyDescent="0.3">
      <c r="B27">
        <f ca="1">DATEDIF(VLOOKUP(B26,$P$18:$Q$100,2,FALSE),TODAY(),"Y")</f>
        <v>21</v>
      </c>
      <c r="C27">
        <f t="shared" ref="C27:L27" ca="1" si="8">DATEDIF(VLOOKUP(C26,$P$18:$Q$100,2,FALSE),TODAY(),"Y")</f>
        <v>21</v>
      </c>
      <c r="D27">
        <f t="shared" ca="1" si="8"/>
        <v>20</v>
      </c>
      <c r="E27">
        <f t="shared" ca="1" si="8"/>
        <v>20</v>
      </c>
      <c r="F27">
        <f t="shared" ca="1" si="8"/>
        <v>24</v>
      </c>
      <c r="G27">
        <f t="shared" ca="1" si="8"/>
        <v>20</v>
      </c>
      <c r="H27">
        <f t="shared" ca="1" si="8"/>
        <v>20</v>
      </c>
      <c r="I27">
        <f t="shared" ca="1" si="8"/>
        <v>21</v>
      </c>
      <c r="J27">
        <f t="shared" ca="1" si="8"/>
        <v>22</v>
      </c>
      <c r="K27">
        <f t="shared" ca="1" si="8"/>
        <v>19</v>
      </c>
      <c r="L27">
        <f t="shared" ca="1" si="8"/>
        <v>20</v>
      </c>
      <c r="N27" s="1">
        <f ca="1">AVERAGE(B27:M27)</f>
        <v>20.727272727272727</v>
      </c>
      <c r="P27" t="s">
        <v>35</v>
      </c>
      <c r="Q27" s="6">
        <v>38475</v>
      </c>
    </row>
    <row r="28" spans="1:20" x14ac:dyDescent="0.3">
      <c r="P28" t="s">
        <v>87</v>
      </c>
      <c r="Q28" s="6">
        <v>38916</v>
      </c>
    </row>
    <row r="29" spans="1:20" x14ac:dyDescent="0.3">
      <c r="A29" t="s">
        <v>194</v>
      </c>
      <c r="B29" t="s">
        <v>85</v>
      </c>
      <c r="C29" t="s">
        <v>6</v>
      </c>
      <c r="D29" t="s">
        <v>34</v>
      </c>
      <c r="E29" t="s">
        <v>36</v>
      </c>
      <c r="F29" t="s">
        <v>86</v>
      </c>
      <c r="G29" t="s">
        <v>150</v>
      </c>
      <c r="H29" t="s">
        <v>8</v>
      </c>
      <c r="I29" t="s">
        <v>35</v>
      </c>
      <c r="J29" t="s">
        <v>103</v>
      </c>
      <c r="K29" t="s">
        <v>87</v>
      </c>
      <c r="L29" t="s">
        <v>18</v>
      </c>
      <c r="P29" t="s">
        <v>18</v>
      </c>
      <c r="Q29" s="6">
        <v>38600</v>
      </c>
    </row>
    <row r="30" spans="1:20" x14ac:dyDescent="0.3">
      <c r="B30">
        <f ca="1">DATEDIF(VLOOKUP(B29,$P$18:$Q$100,2,FALSE),TODAY(),"Y")</f>
        <v>21</v>
      </c>
      <c r="C30">
        <f t="shared" ref="C30:L30" ca="1" si="9">DATEDIF(VLOOKUP(C29,$P$18:$Q$100,2,FALSE),TODAY(),"Y")</f>
        <v>21</v>
      </c>
      <c r="D30">
        <f t="shared" ca="1" si="9"/>
        <v>20</v>
      </c>
      <c r="E30">
        <f t="shared" ca="1" si="9"/>
        <v>20</v>
      </c>
      <c r="F30">
        <f t="shared" ca="1" si="9"/>
        <v>24</v>
      </c>
      <c r="G30">
        <f t="shared" ca="1" si="9"/>
        <v>20</v>
      </c>
      <c r="H30">
        <f t="shared" ca="1" si="9"/>
        <v>20</v>
      </c>
      <c r="I30">
        <f t="shared" ca="1" si="9"/>
        <v>21</v>
      </c>
      <c r="J30">
        <f t="shared" ca="1" si="9"/>
        <v>22</v>
      </c>
      <c r="K30">
        <f t="shared" ca="1" si="9"/>
        <v>19</v>
      </c>
      <c r="L30">
        <f t="shared" ca="1" si="9"/>
        <v>20</v>
      </c>
      <c r="N30" s="1">
        <f ca="1">AVERAGE(B30:M30)</f>
        <v>20.727272727272727</v>
      </c>
      <c r="P30" t="s">
        <v>104</v>
      </c>
      <c r="Q30" s="6">
        <v>38335</v>
      </c>
    </row>
    <row r="31" spans="1:20" x14ac:dyDescent="0.3">
      <c r="P31" t="s">
        <v>103</v>
      </c>
      <c r="Q31" s="6">
        <v>37927</v>
      </c>
    </row>
    <row r="32" spans="1:20" x14ac:dyDescent="0.3">
      <c r="A32" t="s">
        <v>84</v>
      </c>
      <c r="B32" t="s">
        <v>85</v>
      </c>
      <c r="C32" t="s">
        <v>6</v>
      </c>
      <c r="D32" t="s">
        <v>34</v>
      </c>
      <c r="E32" t="s">
        <v>36</v>
      </c>
      <c r="F32" t="s">
        <v>86</v>
      </c>
      <c r="G32" t="s">
        <v>150</v>
      </c>
      <c r="H32" t="s">
        <v>8</v>
      </c>
      <c r="I32" t="s">
        <v>35</v>
      </c>
      <c r="J32" t="s">
        <v>151</v>
      </c>
      <c r="K32" t="s">
        <v>87</v>
      </c>
      <c r="L32" t="s">
        <v>18</v>
      </c>
      <c r="P32" t="s">
        <v>150</v>
      </c>
      <c r="Q32" s="6">
        <v>38512</v>
      </c>
    </row>
    <row r="33" spans="1:17" x14ac:dyDescent="0.3">
      <c r="B33">
        <f ca="1">DATEDIF(VLOOKUP(B32,$P$18:$Q$100,2,FALSE),TODAY(),"Y")</f>
        <v>21</v>
      </c>
      <c r="C33">
        <f t="shared" ref="C33:L33" ca="1" si="10">DATEDIF(VLOOKUP(C32,$P$18:$Q$100,2,FALSE),TODAY(),"Y")</f>
        <v>21</v>
      </c>
      <c r="D33">
        <f t="shared" ca="1" si="10"/>
        <v>20</v>
      </c>
      <c r="E33">
        <f t="shared" ca="1" si="10"/>
        <v>20</v>
      </c>
      <c r="F33">
        <f t="shared" ca="1" si="10"/>
        <v>24</v>
      </c>
      <c r="G33">
        <f t="shared" ca="1" si="10"/>
        <v>20</v>
      </c>
      <c r="H33">
        <f t="shared" ca="1" si="10"/>
        <v>20</v>
      </c>
      <c r="I33">
        <f t="shared" ca="1" si="10"/>
        <v>21</v>
      </c>
      <c r="J33">
        <f t="shared" ca="1" si="10"/>
        <v>20</v>
      </c>
      <c r="K33">
        <f t="shared" ca="1" si="10"/>
        <v>19</v>
      </c>
      <c r="L33">
        <f t="shared" ca="1" si="10"/>
        <v>20</v>
      </c>
      <c r="N33" s="1">
        <f ca="1">AVERAGE(B33:M33)</f>
        <v>20.545454545454547</v>
      </c>
      <c r="P33" t="s">
        <v>151</v>
      </c>
      <c r="Q33" s="6">
        <v>38513</v>
      </c>
    </row>
    <row r="34" spans="1:17" x14ac:dyDescent="0.3">
      <c r="P34" t="s">
        <v>152</v>
      </c>
      <c r="Q34" s="6">
        <v>38448</v>
      </c>
    </row>
    <row r="35" spans="1:17" x14ac:dyDescent="0.3">
      <c r="A35" t="s">
        <v>16</v>
      </c>
      <c r="B35" t="s">
        <v>85</v>
      </c>
      <c r="C35" t="s">
        <v>6</v>
      </c>
      <c r="D35" t="s">
        <v>199</v>
      </c>
      <c r="E35" t="s">
        <v>36</v>
      </c>
      <c r="F35" t="s">
        <v>86</v>
      </c>
      <c r="G35" t="s">
        <v>150</v>
      </c>
      <c r="H35" t="s">
        <v>8</v>
      </c>
      <c r="I35" t="s">
        <v>35</v>
      </c>
      <c r="J35" t="s">
        <v>244</v>
      </c>
      <c r="K35" t="s">
        <v>87</v>
      </c>
      <c r="L35" t="s">
        <v>37</v>
      </c>
      <c r="P35" t="s">
        <v>167</v>
      </c>
      <c r="Q35" s="6">
        <v>39162</v>
      </c>
    </row>
    <row r="36" spans="1:17" x14ac:dyDescent="0.3">
      <c r="B36">
        <f ca="1">DATEDIF(VLOOKUP(B35,$P$18:$Q$100,2,FALSE),TODAY(),"Y")</f>
        <v>21</v>
      </c>
      <c r="C36">
        <f t="shared" ref="C36:L36" ca="1" si="11">DATEDIF(VLOOKUP(C35,$P$18:$Q$100,2,FALSE),TODAY(),"Y")</f>
        <v>21</v>
      </c>
      <c r="D36">
        <f t="shared" ca="1" si="11"/>
        <v>19</v>
      </c>
      <c r="E36">
        <f t="shared" ca="1" si="11"/>
        <v>20</v>
      </c>
      <c r="F36">
        <f t="shared" ca="1" si="11"/>
        <v>24</v>
      </c>
      <c r="G36">
        <f t="shared" ca="1" si="11"/>
        <v>20</v>
      </c>
      <c r="H36">
        <f t="shared" ca="1" si="11"/>
        <v>20</v>
      </c>
      <c r="I36">
        <f t="shared" ca="1" si="11"/>
        <v>21</v>
      </c>
      <c r="J36">
        <f t="shared" ca="1" si="11"/>
        <v>21</v>
      </c>
      <c r="K36">
        <f t="shared" ca="1" si="11"/>
        <v>19</v>
      </c>
      <c r="L36">
        <f t="shared" ca="1" si="11"/>
        <v>20</v>
      </c>
      <c r="N36" s="1">
        <f ca="1">AVERAGE(B36:M36)</f>
        <v>20.545454545454547</v>
      </c>
      <c r="P36" t="s">
        <v>168</v>
      </c>
      <c r="Q36" s="6">
        <v>39597</v>
      </c>
    </row>
    <row r="37" spans="1:17" x14ac:dyDescent="0.3">
      <c r="P37" t="s">
        <v>199</v>
      </c>
      <c r="Q37" s="6">
        <v>39178</v>
      </c>
    </row>
    <row r="38" spans="1:17" x14ac:dyDescent="0.3">
      <c r="A38" t="s">
        <v>164</v>
      </c>
      <c r="B38" t="s">
        <v>251</v>
      </c>
      <c r="C38" t="s">
        <v>6</v>
      </c>
      <c r="D38" t="s">
        <v>34</v>
      </c>
      <c r="E38" t="s">
        <v>36</v>
      </c>
      <c r="F38" t="s">
        <v>86</v>
      </c>
      <c r="G38" t="s">
        <v>150</v>
      </c>
      <c r="H38" t="s">
        <v>8</v>
      </c>
      <c r="I38" t="s">
        <v>252</v>
      </c>
      <c r="J38" t="s">
        <v>18</v>
      </c>
      <c r="K38" t="s">
        <v>87</v>
      </c>
      <c r="L38" t="s">
        <v>37</v>
      </c>
      <c r="P38" t="s">
        <v>244</v>
      </c>
      <c r="Q38" s="6">
        <v>38410</v>
      </c>
    </row>
    <row r="39" spans="1:17" x14ac:dyDescent="0.3">
      <c r="B39">
        <f ca="1">DATEDIF(VLOOKUP(B38,$P$18:$Q$100,2,FALSE),TODAY(),"Y")</f>
        <v>18</v>
      </c>
      <c r="C39">
        <f t="shared" ref="C39:L39" ca="1" si="12">DATEDIF(VLOOKUP(C38,$P$18:$Q$100,2,FALSE),TODAY(),"Y")</f>
        <v>21</v>
      </c>
      <c r="D39">
        <f t="shared" ca="1" si="12"/>
        <v>20</v>
      </c>
      <c r="E39">
        <f t="shared" ca="1" si="12"/>
        <v>20</v>
      </c>
      <c r="F39">
        <f t="shared" ca="1" si="12"/>
        <v>24</v>
      </c>
      <c r="G39">
        <f t="shared" ca="1" si="12"/>
        <v>20</v>
      </c>
      <c r="H39">
        <f t="shared" ca="1" si="12"/>
        <v>20</v>
      </c>
      <c r="I39">
        <f t="shared" ca="1" si="12"/>
        <v>21</v>
      </c>
      <c r="J39">
        <f t="shared" ca="1" si="12"/>
        <v>20</v>
      </c>
      <c r="K39">
        <f t="shared" ca="1" si="12"/>
        <v>19</v>
      </c>
      <c r="L39">
        <f t="shared" ca="1" si="12"/>
        <v>20</v>
      </c>
      <c r="N39" s="1">
        <f ca="1">AVERAGE(B39:M39)</f>
        <v>20.272727272727273</v>
      </c>
      <c r="P39" t="s">
        <v>251</v>
      </c>
      <c r="Q39" s="6">
        <v>39226</v>
      </c>
    </row>
    <row r="40" spans="1:17" x14ac:dyDescent="0.3">
      <c r="P40" t="s">
        <v>252</v>
      </c>
      <c r="Q40" s="6">
        <v>38395</v>
      </c>
    </row>
    <row r="41" spans="1:17" x14ac:dyDescent="0.3">
      <c r="A41" t="s">
        <v>15</v>
      </c>
      <c r="B41" t="s">
        <v>85</v>
      </c>
      <c r="C41" t="s">
        <v>253</v>
      </c>
      <c r="D41" t="s">
        <v>199</v>
      </c>
      <c r="E41" t="s">
        <v>36</v>
      </c>
      <c r="F41" t="s">
        <v>86</v>
      </c>
      <c r="G41" t="s">
        <v>150</v>
      </c>
      <c r="H41" t="s">
        <v>8</v>
      </c>
      <c r="I41" t="s">
        <v>252</v>
      </c>
      <c r="J41" t="s">
        <v>18</v>
      </c>
      <c r="K41" t="s">
        <v>87</v>
      </c>
      <c r="L41" t="s">
        <v>37</v>
      </c>
      <c r="P41" t="s">
        <v>253</v>
      </c>
      <c r="Q41" s="6">
        <v>38718</v>
      </c>
    </row>
    <row r="42" spans="1:17" x14ac:dyDescent="0.3">
      <c r="B42">
        <f ca="1">DATEDIF(VLOOKUP(B41,$P$18:$Q$100,2,FALSE),TODAY(),"Y")</f>
        <v>21</v>
      </c>
      <c r="C42">
        <f t="shared" ref="C42:L42" ca="1" si="13">DATEDIF(VLOOKUP(C41,$P$18:$Q$100,2,FALSE),TODAY(),"Y")</f>
        <v>20</v>
      </c>
      <c r="D42">
        <f t="shared" ca="1" si="13"/>
        <v>19</v>
      </c>
      <c r="E42">
        <f t="shared" ca="1" si="13"/>
        <v>20</v>
      </c>
      <c r="F42">
        <f t="shared" ca="1" si="13"/>
        <v>24</v>
      </c>
      <c r="G42">
        <f t="shared" ca="1" si="13"/>
        <v>20</v>
      </c>
      <c r="H42">
        <f t="shared" ca="1" si="13"/>
        <v>20</v>
      </c>
      <c r="I42">
        <f t="shared" ca="1" si="13"/>
        <v>21</v>
      </c>
      <c r="J42">
        <f t="shared" ca="1" si="13"/>
        <v>20</v>
      </c>
      <c r="K42">
        <f t="shared" ca="1" si="13"/>
        <v>19</v>
      </c>
      <c r="L42">
        <f t="shared" ca="1" si="13"/>
        <v>20</v>
      </c>
      <c r="N42" s="1">
        <f ca="1">AVERAGE(B42:M42)</f>
        <v>20.363636363636363</v>
      </c>
      <c r="P42" t="s">
        <v>264</v>
      </c>
      <c r="Q42" s="6">
        <v>38062</v>
      </c>
    </row>
    <row r="43" spans="1:17" x14ac:dyDescent="0.3">
      <c r="P43" t="s">
        <v>284</v>
      </c>
      <c r="Q43" s="6">
        <v>39118</v>
      </c>
    </row>
    <row r="44" spans="1:17" x14ac:dyDescent="0.3">
      <c r="A44" t="s">
        <v>112</v>
      </c>
      <c r="B44" t="s">
        <v>85</v>
      </c>
      <c r="C44" t="s">
        <v>253</v>
      </c>
      <c r="D44" t="s">
        <v>199</v>
      </c>
      <c r="E44" t="s">
        <v>264</v>
      </c>
      <c r="F44" t="s">
        <v>86</v>
      </c>
      <c r="G44" t="s">
        <v>150</v>
      </c>
      <c r="H44" t="s">
        <v>8</v>
      </c>
      <c r="I44" t="s">
        <v>35</v>
      </c>
      <c r="J44" t="s">
        <v>6</v>
      </c>
      <c r="K44" t="s">
        <v>87</v>
      </c>
      <c r="L44" t="s">
        <v>37</v>
      </c>
      <c r="P44" t="s">
        <v>285</v>
      </c>
      <c r="Q44" s="6">
        <v>39260</v>
      </c>
    </row>
    <row r="45" spans="1:17" x14ac:dyDescent="0.3">
      <c r="B45">
        <f ca="1">DATEDIF(VLOOKUP(B44,$P$18:$Q$100,2,FALSE),TODAY(),"Y")</f>
        <v>21</v>
      </c>
      <c r="C45">
        <f t="shared" ref="C45:L45" ca="1" si="14">DATEDIF(VLOOKUP(C44,$P$18:$Q$100,2,FALSE),TODAY(),"Y")</f>
        <v>20</v>
      </c>
      <c r="D45">
        <f t="shared" ca="1" si="14"/>
        <v>19</v>
      </c>
      <c r="E45">
        <f t="shared" ca="1" si="14"/>
        <v>22</v>
      </c>
      <c r="F45">
        <f t="shared" ca="1" si="14"/>
        <v>24</v>
      </c>
      <c r="G45">
        <f t="shared" ca="1" si="14"/>
        <v>20</v>
      </c>
      <c r="H45">
        <f t="shared" ca="1" si="14"/>
        <v>20</v>
      </c>
      <c r="I45">
        <f t="shared" ca="1" si="14"/>
        <v>21</v>
      </c>
      <c r="J45">
        <f t="shared" ca="1" si="14"/>
        <v>21</v>
      </c>
      <c r="K45">
        <f t="shared" ca="1" si="14"/>
        <v>19</v>
      </c>
      <c r="L45">
        <f t="shared" ca="1" si="14"/>
        <v>20</v>
      </c>
      <c r="N45" s="1">
        <f ca="1">AVERAGE(B45:M45)</f>
        <v>20.636363636363637</v>
      </c>
      <c r="P45" t="s">
        <v>286</v>
      </c>
      <c r="Q45" s="6">
        <v>39689</v>
      </c>
    </row>
    <row r="46" spans="1:17" x14ac:dyDescent="0.3">
      <c r="P46" t="s">
        <v>300</v>
      </c>
      <c r="Q46" s="6">
        <v>39524</v>
      </c>
    </row>
    <row r="47" spans="1:17" x14ac:dyDescent="0.3">
      <c r="A47" t="s">
        <v>33</v>
      </c>
      <c r="B47" t="s">
        <v>85</v>
      </c>
      <c r="C47" t="s">
        <v>34</v>
      </c>
      <c r="D47" t="s">
        <v>199</v>
      </c>
      <c r="E47" t="s">
        <v>252</v>
      </c>
      <c r="F47" t="s">
        <v>86</v>
      </c>
      <c r="G47" t="s">
        <v>284</v>
      </c>
      <c r="H47" t="s">
        <v>103</v>
      </c>
      <c r="I47" t="s">
        <v>285</v>
      </c>
      <c r="J47" t="s">
        <v>6</v>
      </c>
      <c r="K47" t="s">
        <v>286</v>
      </c>
      <c r="L47" t="s">
        <v>18</v>
      </c>
      <c r="P47" t="s">
        <v>306</v>
      </c>
      <c r="Q47" s="6">
        <v>38884</v>
      </c>
    </row>
    <row r="48" spans="1:17" x14ac:dyDescent="0.3">
      <c r="B48">
        <f ca="1">DATEDIF(VLOOKUP(B47,$P$18:$Q$100,2,FALSE),TODAY(),"Y")</f>
        <v>21</v>
      </c>
      <c r="C48">
        <f t="shared" ref="C48:L48" ca="1" si="15">DATEDIF(VLOOKUP(C47,$P$18:$Q$100,2,FALSE),TODAY(),"Y")</f>
        <v>20</v>
      </c>
      <c r="D48">
        <f t="shared" ca="1" si="15"/>
        <v>19</v>
      </c>
      <c r="E48">
        <f t="shared" ca="1" si="15"/>
        <v>21</v>
      </c>
      <c r="F48">
        <f t="shared" ca="1" si="15"/>
        <v>24</v>
      </c>
      <c r="G48">
        <f t="shared" ca="1" si="15"/>
        <v>19</v>
      </c>
      <c r="H48">
        <f t="shared" ca="1" si="15"/>
        <v>22</v>
      </c>
      <c r="I48">
        <f t="shared" ca="1" si="15"/>
        <v>18</v>
      </c>
      <c r="J48">
        <f t="shared" ca="1" si="15"/>
        <v>21</v>
      </c>
      <c r="K48">
        <f t="shared" ca="1" si="15"/>
        <v>17</v>
      </c>
      <c r="L48">
        <f t="shared" ca="1" si="15"/>
        <v>20</v>
      </c>
      <c r="N48" s="1">
        <f ca="1">AVERAGE(B48:M48)</f>
        <v>20.181818181818183</v>
      </c>
      <c r="P48" t="s">
        <v>307</v>
      </c>
      <c r="Q48" s="6">
        <v>39283</v>
      </c>
    </row>
    <row r="49" spans="1:17" x14ac:dyDescent="0.3">
      <c r="P49" t="s">
        <v>309</v>
      </c>
      <c r="Q49" s="6">
        <v>36885</v>
      </c>
    </row>
    <row r="50" spans="1:17" x14ac:dyDescent="0.3">
      <c r="A50" t="s">
        <v>102</v>
      </c>
      <c r="B50" t="s">
        <v>251</v>
      </c>
      <c r="C50" t="s">
        <v>35</v>
      </c>
      <c r="D50" t="s">
        <v>199</v>
      </c>
      <c r="E50" t="s">
        <v>252</v>
      </c>
      <c r="F50" t="s">
        <v>253</v>
      </c>
      <c r="G50" t="s">
        <v>284</v>
      </c>
      <c r="H50" t="s">
        <v>103</v>
      </c>
      <c r="I50" t="s">
        <v>285</v>
      </c>
      <c r="J50" t="s">
        <v>6</v>
      </c>
      <c r="K50" t="s">
        <v>286</v>
      </c>
      <c r="L50" t="s">
        <v>18</v>
      </c>
      <c r="P50" t="s">
        <v>310</v>
      </c>
      <c r="Q50" s="6">
        <v>38323</v>
      </c>
    </row>
    <row r="51" spans="1:17" x14ac:dyDescent="0.3">
      <c r="B51">
        <f ca="1">DATEDIF(VLOOKUP(B50,$P$18:$Q$100,2,FALSE),TODAY(),"Y")</f>
        <v>18</v>
      </c>
      <c r="C51">
        <f t="shared" ref="C51:L51" ca="1" si="16">DATEDIF(VLOOKUP(C50,$P$18:$Q$100,2,FALSE),TODAY(),"Y")</f>
        <v>21</v>
      </c>
      <c r="D51">
        <f t="shared" ca="1" si="16"/>
        <v>19</v>
      </c>
      <c r="E51">
        <f t="shared" ca="1" si="16"/>
        <v>21</v>
      </c>
      <c r="F51">
        <f t="shared" ca="1" si="16"/>
        <v>20</v>
      </c>
      <c r="G51">
        <f t="shared" ca="1" si="16"/>
        <v>19</v>
      </c>
      <c r="H51">
        <f t="shared" ca="1" si="16"/>
        <v>22</v>
      </c>
      <c r="I51">
        <f t="shared" ca="1" si="16"/>
        <v>18</v>
      </c>
      <c r="J51">
        <f t="shared" ca="1" si="16"/>
        <v>21</v>
      </c>
      <c r="K51">
        <f t="shared" ca="1" si="16"/>
        <v>17</v>
      </c>
      <c r="L51">
        <f t="shared" ca="1" si="16"/>
        <v>20</v>
      </c>
      <c r="N51" s="1">
        <f ca="1">AVERAGE(B51:M51)</f>
        <v>19.636363636363637</v>
      </c>
      <c r="P51" t="s">
        <v>331</v>
      </c>
      <c r="Q51" s="6">
        <v>39845</v>
      </c>
    </row>
    <row r="52" spans="1:17" x14ac:dyDescent="0.3">
      <c r="P52" t="s">
        <v>333</v>
      </c>
      <c r="Q52" s="6">
        <v>38721</v>
      </c>
    </row>
    <row r="53" spans="1:17" x14ac:dyDescent="0.3">
      <c r="A53" t="s">
        <v>149</v>
      </c>
      <c r="B53" t="s">
        <v>251</v>
      </c>
      <c r="C53" t="s">
        <v>34</v>
      </c>
      <c r="D53" t="s">
        <v>199</v>
      </c>
      <c r="E53" t="s">
        <v>252</v>
      </c>
      <c r="F53" t="s">
        <v>36</v>
      </c>
      <c r="G53" t="s">
        <v>284</v>
      </c>
      <c r="H53" t="s">
        <v>300</v>
      </c>
      <c r="I53" t="s">
        <v>285</v>
      </c>
      <c r="J53" t="s">
        <v>6</v>
      </c>
      <c r="K53" t="s">
        <v>286</v>
      </c>
      <c r="L53" t="s">
        <v>37</v>
      </c>
      <c r="P53" t="s">
        <v>337</v>
      </c>
      <c r="Q53" s="6">
        <v>39375</v>
      </c>
    </row>
    <row r="54" spans="1:17" x14ac:dyDescent="0.3">
      <c r="B54">
        <f ca="1">DATEDIF(VLOOKUP(B53,$P$18:$Q$100,2,FALSE),TODAY(),"Y")</f>
        <v>18</v>
      </c>
      <c r="C54">
        <f t="shared" ref="C54:L54" ca="1" si="17">DATEDIF(VLOOKUP(C53,$P$18:$Q$100,2,FALSE),TODAY(),"Y")</f>
        <v>20</v>
      </c>
      <c r="D54">
        <f t="shared" ca="1" si="17"/>
        <v>19</v>
      </c>
      <c r="E54">
        <f t="shared" ca="1" si="17"/>
        <v>21</v>
      </c>
      <c r="F54">
        <f t="shared" ca="1" si="17"/>
        <v>20</v>
      </c>
      <c r="G54">
        <f t="shared" ca="1" si="17"/>
        <v>19</v>
      </c>
      <c r="H54">
        <f t="shared" ca="1" si="17"/>
        <v>18</v>
      </c>
      <c r="I54">
        <f t="shared" ca="1" si="17"/>
        <v>18</v>
      </c>
      <c r="J54">
        <f t="shared" ca="1" si="17"/>
        <v>21</v>
      </c>
      <c r="K54">
        <f t="shared" ca="1" si="17"/>
        <v>17</v>
      </c>
      <c r="L54">
        <f t="shared" ca="1" si="17"/>
        <v>20</v>
      </c>
      <c r="N54" s="1">
        <f ca="1">AVERAGE(B54:M54)</f>
        <v>19.181818181818183</v>
      </c>
      <c r="P54" t="s">
        <v>338</v>
      </c>
      <c r="Q54" s="6">
        <v>39333</v>
      </c>
    </row>
    <row r="56" spans="1:17" x14ac:dyDescent="0.3">
      <c r="A56" t="s">
        <v>166</v>
      </c>
      <c r="B56" t="s">
        <v>251</v>
      </c>
      <c r="C56" t="s">
        <v>34</v>
      </c>
      <c r="D56" t="s">
        <v>199</v>
      </c>
      <c r="E56" t="s">
        <v>306</v>
      </c>
      <c r="F56" t="s">
        <v>36</v>
      </c>
      <c r="G56" t="s">
        <v>152</v>
      </c>
      <c r="H56" t="s">
        <v>300</v>
      </c>
      <c r="I56" t="s">
        <v>18</v>
      </c>
      <c r="J56" t="s">
        <v>6</v>
      </c>
      <c r="K56" t="s">
        <v>286</v>
      </c>
      <c r="L56" t="s">
        <v>307</v>
      </c>
    </row>
    <row r="57" spans="1:17" x14ac:dyDescent="0.3">
      <c r="B57">
        <f ca="1">DATEDIF(VLOOKUP(B56,$P$18:$Q$100,2,FALSE),TODAY(),"Y")</f>
        <v>18</v>
      </c>
      <c r="C57">
        <f t="shared" ref="C57:L57" ca="1" si="18">DATEDIF(VLOOKUP(C56,$P$18:$Q$100,2,FALSE),TODAY(),"Y")</f>
        <v>20</v>
      </c>
      <c r="D57">
        <f t="shared" ca="1" si="18"/>
        <v>19</v>
      </c>
      <c r="E57">
        <f t="shared" ca="1" si="18"/>
        <v>19</v>
      </c>
      <c r="F57">
        <f t="shared" ca="1" si="18"/>
        <v>20</v>
      </c>
      <c r="G57">
        <f t="shared" ca="1" si="18"/>
        <v>21</v>
      </c>
      <c r="H57">
        <f t="shared" ca="1" si="18"/>
        <v>18</v>
      </c>
      <c r="I57">
        <f t="shared" ca="1" si="18"/>
        <v>20</v>
      </c>
      <c r="J57">
        <f t="shared" ca="1" si="18"/>
        <v>21</v>
      </c>
      <c r="K57">
        <f t="shared" ca="1" si="18"/>
        <v>17</v>
      </c>
      <c r="L57">
        <f t="shared" ca="1" si="18"/>
        <v>18</v>
      </c>
      <c r="N57" s="1">
        <f ca="1">AVERAGE(B57:M57)</f>
        <v>19.181818181818183</v>
      </c>
    </row>
    <row r="59" spans="1:17" x14ac:dyDescent="0.3">
      <c r="A59" t="s">
        <v>174</v>
      </c>
      <c r="B59" t="s">
        <v>251</v>
      </c>
      <c r="C59" t="s">
        <v>34</v>
      </c>
      <c r="D59" t="s">
        <v>35</v>
      </c>
      <c r="E59" t="s">
        <v>306</v>
      </c>
      <c r="F59" t="s">
        <v>284</v>
      </c>
      <c r="G59" t="s">
        <v>152</v>
      </c>
      <c r="H59" t="s">
        <v>309</v>
      </c>
      <c r="I59" t="s">
        <v>18</v>
      </c>
      <c r="J59" t="s">
        <v>6</v>
      </c>
      <c r="K59" t="s">
        <v>310</v>
      </c>
      <c r="L59" t="s">
        <v>307</v>
      </c>
    </row>
    <row r="60" spans="1:17" x14ac:dyDescent="0.3">
      <c r="B60">
        <f ca="1">DATEDIF(VLOOKUP(B59,$P$18:$Q$100,2,FALSE),TODAY(),"Y")</f>
        <v>18</v>
      </c>
      <c r="C60">
        <f t="shared" ref="C60:L60" ca="1" si="19">DATEDIF(VLOOKUP(C59,$P$18:$Q$100,2,FALSE),TODAY(),"Y")</f>
        <v>20</v>
      </c>
      <c r="D60">
        <f t="shared" ca="1" si="19"/>
        <v>21</v>
      </c>
      <c r="E60">
        <f t="shared" ca="1" si="19"/>
        <v>19</v>
      </c>
      <c r="F60">
        <f t="shared" ca="1" si="19"/>
        <v>19</v>
      </c>
      <c r="G60">
        <f t="shared" ca="1" si="19"/>
        <v>21</v>
      </c>
      <c r="H60">
        <f t="shared" ca="1" si="19"/>
        <v>25</v>
      </c>
      <c r="I60">
        <f t="shared" ca="1" si="19"/>
        <v>20</v>
      </c>
      <c r="J60">
        <f t="shared" ca="1" si="19"/>
        <v>21</v>
      </c>
      <c r="K60">
        <f t="shared" ca="1" si="19"/>
        <v>21</v>
      </c>
      <c r="L60">
        <f t="shared" ca="1" si="19"/>
        <v>18</v>
      </c>
      <c r="N60" s="1">
        <f ca="1">AVERAGE(B60:M60)</f>
        <v>20.272727272727273</v>
      </c>
    </row>
    <row r="62" spans="1:17" x14ac:dyDescent="0.3">
      <c r="A62" t="s">
        <v>191</v>
      </c>
      <c r="B62" t="s">
        <v>85</v>
      </c>
      <c r="C62" t="s">
        <v>167</v>
      </c>
      <c r="D62" t="s">
        <v>252</v>
      </c>
      <c r="E62" t="s">
        <v>35</v>
      </c>
      <c r="F62" t="s">
        <v>86</v>
      </c>
      <c r="G62" t="s">
        <v>199</v>
      </c>
      <c r="H62" t="s">
        <v>103</v>
      </c>
      <c r="I62" t="s">
        <v>300</v>
      </c>
      <c r="J62" t="s">
        <v>152</v>
      </c>
      <c r="K62" t="s">
        <v>37</v>
      </c>
      <c r="L62" t="s">
        <v>307</v>
      </c>
    </row>
    <row r="63" spans="1:17" x14ac:dyDescent="0.3">
      <c r="B63">
        <f ca="1">DATEDIF(VLOOKUP(B62,$P$18:$Q$100,2,FALSE),TODAY(),"Y")</f>
        <v>21</v>
      </c>
      <c r="C63">
        <f t="shared" ref="C63:L63" ca="1" si="20">DATEDIF(VLOOKUP(C62,$P$18:$Q$100,2,FALSE),TODAY(),"Y")</f>
        <v>19</v>
      </c>
      <c r="D63">
        <f t="shared" ca="1" si="20"/>
        <v>21</v>
      </c>
      <c r="E63">
        <f t="shared" ca="1" si="20"/>
        <v>21</v>
      </c>
      <c r="F63">
        <f t="shared" ca="1" si="20"/>
        <v>24</v>
      </c>
      <c r="G63">
        <f t="shared" ca="1" si="20"/>
        <v>19</v>
      </c>
      <c r="H63">
        <f t="shared" ca="1" si="20"/>
        <v>22</v>
      </c>
      <c r="I63">
        <f t="shared" ca="1" si="20"/>
        <v>18</v>
      </c>
      <c r="J63">
        <f t="shared" ca="1" si="20"/>
        <v>21</v>
      </c>
      <c r="K63">
        <f t="shared" ca="1" si="20"/>
        <v>20</v>
      </c>
      <c r="L63">
        <f t="shared" ca="1" si="20"/>
        <v>18</v>
      </c>
      <c r="N63" s="1">
        <f ca="1">AVERAGE(B63:M63)</f>
        <v>20.363636363636363</v>
      </c>
    </row>
    <row r="65" spans="1:14" x14ac:dyDescent="0.3">
      <c r="A65" t="s">
        <v>198</v>
      </c>
      <c r="B65" t="s">
        <v>251</v>
      </c>
      <c r="C65" t="s">
        <v>167</v>
      </c>
      <c r="D65" t="s">
        <v>6</v>
      </c>
      <c r="E65" t="s">
        <v>35</v>
      </c>
      <c r="F65" t="s">
        <v>86</v>
      </c>
      <c r="G65" t="s">
        <v>199</v>
      </c>
      <c r="H65" t="s">
        <v>36</v>
      </c>
      <c r="I65" t="s">
        <v>300</v>
      </c>
      <c r="J65" t="s">
        <v>152</v>
      </c>
      <c r="K65" t="s">
        <v>286</v>
      </c>
      <c r="L65" t="s">
        <v>284</v>
      </c>
    </row>
    <row r="66" spans="1:14" x14ac:dyDescent="0.3">
      <c r="B66">
        <f ca="1">DATEDIF(VLOOKUP(B65,$P$18:$Q$100,2,FALSE),TODAY(),"Y")</f>
        <v>18</v>
      </c>
      <c r="C66">
        <f t="shared" ref="C66:L66" ca="1" si="21">DATEDIF(VLOOKUP(C65,$P$18:$Q$100,2,FALSE),TODAY(),"Y")</f>
        <v>19</v>
      </c>
      <c r="D66">
        <f t="shared" ca="1" si="21"/>
        <v>21</v>
      </c>
      <c r="E66">
        <f t="shared" ca="1" si="21"/>
        <v>21</v>
      </c>
      <c r="F66">
        <f t="shared" ca="1" si="21"/>
        <v>24</v>
      </c>
      <c r="G66">
        <f t="shared" ca="1" si="21"/>
        <v>19</v>
      </c>
      <c r="H66">
        <f t="shared" ca="1" si="21"/>
        <v>20</v>
      </c>
      <c r="I66">
        <f t="shared" ca="1" si="21"/>
        <v>18</v>
      </c>
      <c r="J66">
        <f t="shared" ca="1" si="21"/>
        <v>21</v>
      </c>
      <c r="K66">
        <f t="shared" ca="1" si="21"/>
        <v>17</v>
      </c>
      <c r="L66">
        <f t="shared" ca="1" si="21"/>
        <v>19</v>
      </c>
      <c r="N66" s="1">
        <f ca="1">AVERAGE(B66:M66)</f>
        <v>19.727272727272727</v>
      </c>
    </row>
    <row r="68" spans="1:14" x14ac:dyDescent="0.3">
      <c r="A68" t="s">
        <v>228</v>
      </c>
      <c r="B68" t="s">
        <v>85</v>
      </c>
      <c r="C68" t="s">
        <v>306</v>
      </c>
      <c r="D68" t="s">
        <v>6</v>
      </c>
      <c r="E68" t="s">
        <v>35</v>
      </c>
      <c r="F68" t="s">
        <v>86</v>
      </c>
      <c r="G68" t="s">
        <v>199</v>
      </c>
      <c r="H68" t="s">
        <v>36</v>
      </c>
      <c r="I68" t="s">
        <v>300</v>
      </c>
      <c r="J68" t="s">
        <v>331</v>
      </c>
      <c r="K68" t="s">
        <v>37</v>
      </c>
      <c r="L68" t="s">
        <v>307</v>
      </c>
    </row>
    <row r="69" spans="1:14" x14ac:dyDescent="0.3">
      <c r="B69">
        <f ca="1">DATEDIF(VLOOKUP(B68,$P$18:$Q$100,2,FALSE),TODAY(),"Y")</f>
        <v>21</v>
      </c>
      <c r="C69">
        <f t="shared" ref="C69:L69" ca="1" si="22">DATEDIF(VLOOKUP(C68,$P$18:$Q$100,2,FALSE),TODAY(),"Y")</f>
        <v>19</v>
      </c>
      <c r="D69">
        <f t="shared" ca="1" si="22"/>
        <v>21</v>
      </c>
      <c r="E69">
        <f t="shared" ca="1" si="22"/>
        <v>21</v>
      </c>
      <c r="F69">
        <f t="shared" ca="1" si="22"/>
        <v>24</v>
      </c>
      <c r="G69">
        <f t="shared" ca="1" si="22"/>
        <v>19</v>
      </c>
      <c r="H69">
        <f t="shared" ca="1" si="22"/>
        <v>20</v>
      </c>
      <c r="I69">
        <f t="shared" ca="1" si="22"/>
        <v>18</v>
      </c>
      <c r="J69">
        <f t="shared" ca="1" si="22"/>
        <v>17</v>
      </c>
      <c r="K69">
        <f t="shared" ca="1" si="22"/>
        <v>20</v>
      </c>
      <c r="L69">
        <f t="shared" ca="1" si="22"/>
        <v>18</v>
      </c>
      <c r="N69" s="1">
        <f ca="1">AVERAGE(B69:M69)</f>
        <v>19.818181818181817</v>
      </c>
    </row>
    <row r="71" spans="1:14" x14ac:dyDescent="0.3">
      <c r="A71" t="s">
        <v>229</v>
      </c>
      <c r="B71" t="s">
        <v>251</v>
      </c>
      <c r="C71" t="s">
        <v>167</v>
      </c>
      <c r="D71" t="s">
        <v>6</v>
      </c>
      <c r="E71" t="s">
        <v>35</v>
      </c>
      <c r="F71" t="s">
        <v>86</v>
      </c>
      <c r="G71" t="s">
        <v>284</v>
      </c>
      <c r="H71" t="s">
        <v>333</v>
      </c>
      <c r="I71" t="s">
        <v>300</v>
      </c>
      <c r="J71" t="s">
        <v>331</v>
      </c>
      <c r="K71" t="s">
        <v>286</v>
      </c>
      <c r="L71" t="s">
        <v>307</v>
      </c>
    </row>
    <row r="72" spans="1:14" x14ac:dyDescent="0.3">
      <c r="B72">
        <f ca="1">DATEDIF(VLOOKUP(B71,$P$18:$Q$100,2,FALSE),TODAY(),"Y")</f>
        <v>18</v>
      </c>
      <c r="C72">
        <f t="shared" ref="C72:L72" ca="1" si="23">DATEDIF(VLOOKUP(C71,$P$18:$Q$100,2,FALSE),TODAY(),"Y")</f>
        <v>19</v>
      </c>
      <c r="D72">
        <f t="shared" ca="1" si="23"/>
        <v>21</v>
      </c>
      <c r="E72">
        <f t="shared" ca="1" si="23"/>
        <v>21</v>
      </c>
      <c r="F72">
        <f t="shared" ca="1" si="23"/>
        <v>24</v>
      </c>
      <c r="G72">
        <f t="shared" ca="1" si="23"/>
        <v>19</v>
      </c>
      <c r="H72">
        <f t="shared" ca="1" si="23"/>
        <v>20</v>
      </c>
      <c r="I72">
        <f t="shared" ca="1" si="23"/>
        <v>18</v>
      </c>
      <c r="J72">
        <f t="shared" ca="1" si="23"/>
        <v>17</v>
      </c>
      <c r="K72">
        <f t="shared" ca="1" si="23"/>
        <v>17</v>
      </c>
      <c r="L72">
        <f t="shared" ca="1" si="23"/>
        <v>18</v>
      </c>
      <c r="N72" s="1">
        <f ca="1">AVERAGE(B72:M72)</f>
        <v>19.272727272727273</v>
      </c>
    </row>
    <row r="74" spans="1:14" x14ac:dyDescent="0.3">
      <c r="A74" t="s">
        <v>194</v>
      </c>
      <c r="B74" t="s">
        <v>85</v>
      </c>
      <c r="C74" t="s">
        <v>6</v>
      </c>
      <c r="D74" t="s">
        <v>284</v>
      </c>
      <c r="E74" t="s">
        <v>337</v>
      </c>
      <c r="F74" t="s">
        <v>86</v>
      </c>
      <c r="G74" t="s">
        <v>199</v>
      </c>
      <c r="H74" t="s">
        <v>300</v>
      </c>
      <c r="I74" t="s">
        <v>333</v>
      </c>
      <c r="J74" t="s">
        <v>338</v>
      </c>
      <c r="K74" t="s">
        <v>152</v>
      </c>
      <c r="L74" t="s">
        <v>307</v>
      </c>
    </row>
    <row r="75" spans="1:14" x14ac:dyDescent="0.3">
      <c r="B75">
        <f ca="1">DATEDIF(VLOOKUP(B74,$P$18:$Q$100,2,FALSE),TODAY(),"Y")</f>
        <v>21</v>
      </c>
      <c r="C75">
        <f t="shared" ref="C75:L75" ca="1" si="24">DATEDIF(VLOOKUP(C74,$P$18:$Q$100,2,FALSE),TODAY(),"Y")</f>
        <v>21</v>
      </c>
      <c r="D75">
        <f t="shared" ca="1" si="24"/>
        <v>19</v>
      </c>
      <c r="E75">
        <f t="shared" ca="1" si="24"/>
        <v>18</v>
      </c>
      <c r="F75">
        <f t="shared" ca="1" si="24"/>
        <v>24</v>
      </c>
      <c r="G75">
        <f t="shared" ca="1" si="24"/>
        <v>19</v>
      </c>
      <c r="H75">
        <f t="shared" ca="1" si="24"/>
        <v>18</v>
      </c>
      <c r="I75">
        <f t="shared" ca="1" si="24"/>
        <v>20</v>
      </c>
      <c r="J75">
        <f t="shared" ca="1" si="24"/>
        <v>18</v>
      </c>
      <c r="K75">
        <f t="shared" ca="1" si="24"/>
        <v>21</v>
      </c>
      <c r="L75">
        <f t="shared" ca="1" si="24"/>
        <v>18</v>
      </c>
      <c r="N75" s="1">
        <f ca="1">AVERAGE(B75:M75)</f>
        <v>19.727272727272727</v>
      </c>
    </row>
    <row r="77" spans="1:14" x14ac:dyDescent="0.3">
      <c r="A77" t="s">
        <v>84</v>
      </c>
      <c r="B77" t="s">
        <v>251</v>
      </c>
      <c r="C77" t="s">
        <v>252</v>
      </c>
      <c r="D77" t="s">
        <v>284</v>
      </c>
      <c r="E77" t="s">
        <v>337</v>
      </c>
      <c r="F77" t="s">
        <v>86</v>
      </c>
      <c r="G77" t="s">
        <v>331</v>
      </c>
      <c r="H77" t="s">
        <v>300</v>
      </c>
      <c r="I77" t="s">
        <v>333</v>
      </c>
      <c r="J77" t="s">
        <v>338</v>
      </c>
      <c r="K77" t="s">
        <v>152</v>
      </c>
      <c r="L77" t="s">
        <v>286</v>
      </c>
    </row>
    <row r="78" spans="1:14" x14ac:dyDescent="0.3">
      <c r="B78">
        <f ca="1">DATEDIF(VLOOKUP(B77,$P$18:$Q$100,2,FALSE),TODAY(),"Y")</f>
        <v>18</v>
      </c>
      <c r="C78">
        <f t="shared" ref="C78:L78" ca="1" si="25">DATEDIF(VLOOKUP(C77,$P$18:$Q$100,2,FALSE),TODAY(),"Y")</f>
        <v>21</v>
      </c>
      <c r="D78">
        <f t="shared" ca="1" si="25"/>
        <v>19</v>
      </c>
      <c r="E78">
        <f t="shared" ca="1" si="25"/>
        <v>18</v>
      </c>
      <c r="F78">
        <f t="shared" ca="1" si="25"/>
        <v>24</v>
      </c>
      <c r="G78">
        <f t="shared" ca="1" si="25"/>
        <v>17</v>
      </c>
      <c r="H78">
        <f t="shared" ca="1" si="25"/>
        <v>18</v>
      </c>
      <c r="I78">
        <f t="shared" ca="1" si="25"/>
        <v>20</v>
      </c>
      <c r="J78">
        <f t="shared" ca="1" si="25"/>
        <v>18</v>
      </c>
      <c r="K78">
        <f t="shared" ca="1" si="25"/>
        <v>21</v>
      </c>
      <c r="L78">
        <f t="shared" ca="1" si="25"/>
        <v>17</v>
      </c>
      <c r="N78" s="1">
        <f ca="1">AVERAGE(B78:M78)</f>
        <v>19.181818181818183</v>
      </c>
    </row>
    <row r="80" spans="1:14" x14ac:dyDescent="0.3">
      <c r="A80" t="s">
        <v>16</v>
      </c>
      <c r="B80" t="s">
        <v>251</v>
      </c>
      <c r="C80" t="s">
        <v>252</v>
      </c>
      <c r="D80" t="s">
        <v>284</v>
      </c>
      <c r="E80" t="s">
        <v>337</v>
      </c>
      <c r="F80" t="s">
        <v>86</v>
      </c>
      <c r="G80" t="s">
        <v>199</v>
      </c>
      <c r="H80" t="s">
        <v>300</v>
      </c>
      <c r="I80" t="s">
        <v>333</v>
      </c>
      <c r="J80" t="s">
        <v>152</v>
      </c>
      <c r="K80" t="s">
        <v>286</v>
      </c>
      <c r="L80" t="s">
        <v>6</v>
      </c>
    </row>
    <row r="81" spans="2:14" x14ac:dyDescent="0.3">
      <c r="B81">
        <f ca="1">DATEDIF(VLOOKUP(B80,$P$18:$Q$100,2,FALSE),TODAY(),"Y")</f>
        <v>18</v>
      </c>
      <c r="C81">
        <f t="shared" ref="C81:L81" ca="1" si="26">DATEDIF(VLOOKUP(C80,$P$18:$Q$100,2,FALSE),TODAY(),"Y")</f>
        <v>21</v>
      </c>
      <c r="D81">
        <f t="shared" ca="1" si="26"/>
        <v>19</v>
      </c>
      <c r="E81">
        <f t="shared" ca="1" si="26"/>
        <v>18</v>
      </c>
      <c r="F81">
        <f t="shared" ca="1" si="26"/>
        <v>24</v>
      </c>
      <c r="G81">
        <f t="shared" ca="1" si="26"/>
        <v>19</v>
      </c>
      <c r="H81">
        <f t="shared" ca="1" si="26"/>
        <v>18</v>
      </c>
      <c r="I81">
        <f t="shared" ca="1" si="26"/>
        <v>20</v>
      </c>
      <c r="J81">
        <f t="shared" ca="1" si="26"/>
        <v>21</v>
      </c>
      <c r="K81">
        <f t="shared" ca="1" si="26"/>
        <v>17</v>
      </c>
      <c r="L81">
        <f t="shared" ca="1" si="26"/>
        <v>21</v>
      </c>
      <c r="N81" s="1">
        <f ca="1">AVERAGE(B81:M81)</f>
        <v>19.636363636363637</v>
      </c>
    </row>
  </sheetData>
  <pageMargins left="0.7" right="0.7" top="0.78740157499999996" bottom="0.78740157499999996" header="0.3" footer="0.3"/>
  <headerFooter>
    <oddHeader>&amp;R&amp;"Calibri"&amp;12&amp;K000000 Confidential&amp;1#_x000D_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484A-7472-48CF-8DEF-9C09E1FFDA18}">
  <dimension ref="A1:T75"/>
  <sheetViews>
    <sheetView topLeftCell="A14" workbookViewId="0">
      <selection activeCell="P18" sqref="P18:P50"/>
    </sheetView>
  </sheetViews>
  <sheetFormatPr baseColWidth="10" defaultRowHeight="14.4" x14ac:dyDescent="0.3"/>
  <cols>
    <col min="1" max="1" width="13.21875" bestFit="1" customWidth="1"/>
    <col min="8" max="8" width="12.77734375" bestFit="1" customWidth="1"/>
    <col min="14" max="14" width="11.5546875" style="1"/>
  </cols>
  <sheetData>
    <row r="1" spans="1:14" x14ac:dyDescent="0.3">
      <c r="N1" s="1">
        <f ca="1">AVERAGE(N2:N99)</f>
        <v>19.690909090909095</v>
      </c>
    </row>
    <row r="2" spans="1:14" x14ac:dyDescent="0.3">
      <c r="A2" t="s">
        <v>55</v>
      </c>
      <c r="B2" t="s">
        <v>19</v>
      </c>
      <c r="C2" t="s">
        <v>13</v>
      </c>
      <c r="D2" t="s">
        <v>88</v>
      </c>
      <c r="E2" t="s">
        <v>89</v>
      </c>
      <c r="F2" t="s">
        <v>20</v>
      </c>
      <c r="G2" t="s">
        <v>90</v>
      </c>
      <c r="H2" t="s">
        <v>39</v>
      </c>
      <c r="I2" t="s">
        <v>91</v>
      </c>
      <c r="J2" t="s">
        <v>21</v>
      </c>
      <c r="K2" t="s">
        <v>92</v>
      </c>
      <c r="L2" t="s">
        <v>30</v>
      </c>
    </row>
    <row r="3" spans="1:14" x14ac:dyDescent="0.3">
      <c r="B3">
        <f ca="1">DATEDIF(VLOOKUP(B2,$P$18:$Q$100,2,FALSE),TODAY(),"Y")</f>
        <v>20</v>
      </c>
      <c r="C3">
        <f t="shared" ref="C3:L3" ca="1" si="0">DATEDIF(VLOOKUP(C2,$P$18:$Q$100,2,FALSE),TODAY(),"Y")</f>
        <v>17</v>
      </c>
      <c r="D3">
        <f t="shared" ca="1" si="0"/>
        <v>19</v>
      </c>
      <c r="E3">
        <f t="shared" ca="1" si="0"/>
        <v>19</v>
      </c>
      <c r="F3">
        <f t="shared" ca="1" si="0"/>
        <v>19</v>
      </c>
      <c r="G3">
        <f t="shared" ca="1" si="0"/>
        <v>18</v>
      </c>
      <c r="H3">
        <f t="shared" ca="1" si="0"/>
        <v>23</v>
      </c>
      <c r="I3">
        <f t="shared" ca="1" si="0"/>
        <v>17</v>
      </c>
      <c r="J3">
        <f t="shared" ca="1" si="0"/>
        <v>20</v>
      </c>
      <c r="K3">
        <f t="shared" ca="1" si="0"/>
        <v>17</v>
      </c>
      <c r="L3">
        <f t="shared" ca="1" si="0"/>
        <v>22</v>
      </c>
      <c r="N3" s="1">
        <f ca="1">AVERAGE(B3:M3)</f>
        <v>19.181818181818183</v>
      </c>
    </row>
    <row r="5" spans="1:14" x14ac:dyDescent="0.3">
      <c r="A5" t="s">
        <v>119</v>
      </c>
      <c r="B5" t="s">
        <v>19</v>
      </c>
      <c r="C5" t="s">
        <v>13</v>
      </c>
      <c r="D5" t="s">
        <v>120</v>
      </c>
      <c r="E5" t="s">
        <v>89</v>
      </c>
      <c r="F5" t="s">
        <v>20</v>
      </c>
      <c r="G5" t="s">
        <v>90</v>
      </c>
      <c r="H5" t="s">
        <v>121</v>
      </c>
      <c r="I5" t="s">
        <v>91</v>
      </c>
      <c r="J5" t="s">
        <v>21</v>
      </c>
      <c r="K5" t="s">
        <v>122</v>
      </c>
      <c r="L5" t="s">
        <v>30</v>
      </c>
    </row>
    <row r="6" spans="1:14" x14ac:dyDescent="0.3">
      <c r="B6">
        <f ca="1">DATEDIF(VLOOKUP(B5,$P$18:$Q$100,2,FALSE),TODAY(),"Y")</f>
        <v>20</v>
      </c>
      <c r="C6">
        <f t="shared" ref="C6:L6" ca="1" si="1">DATEDIF(VLOOKUP(C5,$P$18:$Q$100,2,FALSE),TODAY(),"Y")</f>
        <v>17</v>
      </c>
      <c r="D6">
        <f t="shared" ca="1" si="1"/>
        <v>21</v>
      </c>
      <c r="E6">
        <f t="shared" ca="1" si="1"/>
        <v>19</v>
      </c>
      <c r="F6">
        <f t="shared" ca="1" si="1"/>
        <v>19</v>
      </c>
      <c r="G6">
        <f t="shared" ca="1" si="1"/>
        <v>18</v>
      </c>
      <c r="H6">
        <f t="shared" ca="1" si="1"/>
        <v>23</v>
      </c>
      <c r="I6">
        <f t="shared" ca="1" si="1"/>
        <v>17</v>
      </c>
      <c r="J6">
        <f t="shared" ca="1" si="1"/>
        <v>20</v>
      </c>
      <c r="K6">
        <f t="shared" ca="1" si="1"/>
        <v>21</v>
      </c>
      <c r="L6">
        <f t="shared" ca="1" si="1"/>
        <v>22</v>
      </c>
      <c r="N6" s="1">
        <f ca="1">AVERAGE(B6:M6)</f>
        <v>19.727272727272727</v>
      </c>
    </row>
    <row r="8" spans="1:14" x14ac:dyDescent="0.3">
      <c r="A8" t="s">
        <v>155</v>
      </c>
      <c r="B8" t="s">
        <v>19</v>
      </c>
      <c r="C8" t="s">
        <v>13</v>
      </c>
      <c r="D8" t="s">
        <v>88</v>
      </c>
      <c r="E8" t="s">
        <v>89</v>
      </c>
      <c r="F8" t="s">
        <v>20</v>
      </c>
      <c r="G8" t="s">
        <v>90</v>
      </c>
      <c r="H8" t="s">
        <v>156</v>
      </c>
      <c r="I8" t="s">
        <v>91</v>
      </c>
      <c r="J8" t="s">
        <v>157</v>
      </c>
      <c r="K8" t="s">
        <v>39</v>
      </c>
      <c r="L8" t="s">
        <v>158</v>
      </c>
    </row>
    <row r="9" spans="1:14" x14ac:dyDescent="0.3">
      <c r="B9">
        <f ca="1">DATEDIF(VLOOKUP(B8,$P$18:$Q$100,2,FALSE),TODAY(),"Y")</f>
        <v>20</v>
      </c>
      <c r="C9">
        <f t="shared" ref="C9:L9" ca="1" si="2">DATEDIF(VLOOKUP(C8,$P$18:$Q$100,2,FALSE),TODAY(),"Y")</f>
        <v>17</v>
      </c>
      <c r="D9">
        <f t="shared" ca="1" si="2"/>
        <v>19</v>
      </c>
      <c r="E9">
        <f t="shared" ca="1" si="2"/>
        <v>19</v>
      </c>
      <c r="F9">
        <f t="shared" ca="1" si="2"/>
        <v>19</v>
      </c>
      <c r="G9">
        <f t="shared" ca="1" si="2"/>
        <v>18</v>
      </c>
      <c r="H9">
        <f t="shared" ca="1" si="2"/>
        <v>20</v>
      </c>
      <c r="I9">
        <f t="shared" ca="1" si="2"/>
        <v>17</v>
      </c>
      <c r="J9">
        <f t="shared" ca="1" si="2"/>
        <v>22</v>
      </c>
      <c r="K9">
        <f t="shared" ca="1" si="2"/>
        <v>23</v>
      </c>
      <c r="L9">
        <f t="shared" ca="1" si="2"/>
        <v>19</v>
      </c>
      <c r="N9" s="1">
        <f ca="1">AVERAGE(B9:M9)</f>
        <v>19.363636363636363</v>
      </c>
    </row>
    <row r="11" spans="1:14" x14ac:dyDescent="0.3">
      <c r="A11" t="s">
        <v>171</v>
      </c>
      <c r="B11" t="s">
        <v>19</v>
      </c>
      <c r="C11" t="s">
        <v>13</v>
      </c>
      <c r="D11" t="s">
        <v>30</v>
      </c>
      <c r="E11" t="s">
        <v>89</v>
      </c>
      <c r="F11" t="s">
        <v>20</v>
      </c>
      <c r="G11" t="s">
        <v>90</v>
      </c>
      <c r="H11" t="s">
        <v>156</v>
      </c>
      <c r="I11" t="s">
        <v>91</v>
      </c>
      <c r="J11" t="s">
        <v>157</v>
      </c>
      <c r="K11" t="s">
        <v>39</v>
      </c>
      <c r="L11" t="s">
        <v>21</v>
      </c>
    </row>
    <row r="12" spans="1:14" x14ac:dyDescent="0.3">
      <c r="B12">
        <f ca="1">DATEDIF(VLOOKUP(B11,$P$18:$Q$100,2,FALSE),TODAY(),"Y")</f>
        <v>20</v>
      </c>
      <c r="C12">
        <f t="shared" ref="C12:L12" ca="1" si="3">DATEDIF(VLOOKUP(C11,$P$18:$Q$100,2,FALSE),TODAY(),"Y")</f>
        <v>17</v>
      </c>
      <c r="D12">
        <f t="shared" ca="1" si="3"/>
        <v>22</v>
      </c>
      <c r="E12">
        <f t="shared" ca="1" si="3"/>
        <v>19</v>
      </c>
      <c r="F12">
        <f t="shared" ca="1" si="3"/>
        <v>19</v>
      </c>
      <c r="G12">
        <f t="shared" ca="1" si="3"/>
        <v>18</v>
      </c>
      <c r="H12">
        <f t="shared" ca="1" si="3"/>
        <v>20</v>
      </c>
      <c r="I12">
        <f t="shared" ca="1" si="3"/>
        <v>17</v>
      </c>
      <c r="J12">
        <f t="shared" ca="1" si="3"/>
        <v>22</v>
      </c>
      <c r="K12">
        <f t="shared" ca="1" si="3"/>
        <v>23</v>
      </c>
      <c r="L12">
        <f t="shared" ca="1" si="3"/>
        <v>20</v>
      </c>
      <c r="N12" s="1">
        <f ca="1">AVERAGE(B12:M12)</f>
        <v>19.727272727272727</v>
      </c>
    </row>
    <row r="14" spans="1:14" x14ac:dyDescent="0.3">
      <c r="A14" t="s">
        <v>186</v>
      </c>
      <c r="B14" t="s">
        <v>187</v>
      </c>
      <c r="C14" t="s">
        <v>13</v>
      </c>
      <c r="D14" t="s">
        <v>30</v>
      </c>
      <c r="E14" t="s">
        <v>89</v>
      </c>
      <c r="F14" t="s">
        <v>20</v>
      </c>
      <c r="G14" t="s">
        <v>88</v>
      </c>
      <c r="H14" t="s">
        <v>156</v>
      </c>
      <c r="I14" t="s">
        <v>188</v>
      </c>
      <c r="J14" t="s">
        <v>157</v>
      </c>
      <c r="K14" t="s">
        <v>39</v>
      </c>
      <c r="L14" t="s">
        <v>158</v>
      </c>
    </row>
    <row r="15" spans="1:14" x14ac:dyDescent="0.3">
      <c r="B15">
        <f ca="1">DATEDIF(VLOOKUP(B14,$P$18:$Q$100,2,FALSE),TODAY(),"Y")</f>
        <v>20</v>
      </c>
      <c r="C15">
        <f t="shared" ref="C15:L15" ca="1" si="4">DATEDIF(VLOOKUP(C14,$P$18:$Q$100,2,FALSE),TODAY(),"Y")</f>
        <v>17</v>
      </c>
      <c r="D15">
        <f t="shared" ca="1" si="4"/>
        <v>22</v>
      </c>
      <c r="E15">
        <f t="shared" ca="1" si="4"/>
        <v>19</v>
      </c>
      <c r="F15">
        <f t="shared" ca="1" si="4"/>
        <v>19</v>
      </c>
      <c r="G15">
        <f t="shared" ca="1" si="4"/>
        <v>19</v>
      </c>
      <c r="H15">
        <f t="shared" ca="1" si="4"/>
        <v>20</v>
      </c>
      <c r="I15">
        <f t="shared" ca="1" si="4"/>
        <v>18</v>
      </c>
      <c r="J15">
        <f t="shared" ca="1" si="4"/>
        <v>22</v>
      </c>
      <c r="K15">
        <f t="shared" ca="1" si="4"/>
        <v>23</v>
      </c>
      <c r="L15">
        <f t="shared" ca="1" si="4"/>
        <v>19</v>
      </c>
      <c r="N15" s="1">
        <f ca="1">AVERAGE(B15:M15)</f>
        <v>19.818181818181817</v>
      </c>
    </row>
    <row r="17" spans="1:20" x14ac:dyDescent="0.3">
      <c r="A17" t="s">
        <v>207</v>
      </c>
      <c r="B17" t="s">
        <v>187</v>
      </c>
      <c r="C17" t="s">
        <v>208</v>
      </c>
      <c r="D17" t="s">
        <v>30</v>
      </c>
      <c r="E17" t="s">
        <v>89</v>
      </c>
      <c r="F17" t="s">
        <v>20</v>
      </c>
      <c r="G17" t="s">
        <v>88</v>
      </c>
      <c r="H17" t="s">
        <v>209</v>
      </c>
      <c r="I17" t="s">
        <v>91</v>
      </c>
      <c r="J17" t="s">
        <v>157</v>
      </c>
      <c r="K17" t="s">
        <v>39</v>
      </c>
      <c r="L17" t="s">
        <v>90</v>
      </c>
    </row>
    <row r="18" spans="1:20" x14ac:dyDescent="0.3">
      <c r="B18">
        <f ca="1">DATEDIF(VLOOKUP(B17,$P$18:$Q$100,2,FALSE),TODAY(),"Y")</f>
        <v>20</v>
      </c>
      <c r="C18">
        <f t="shared" ref="C18:L18" ca="1" si="5">DATEDIF(VLOOKUP(C17,$P$18:$Q$100,2,FALSE),TODAY(),"Y")</f>
        <v>18</v>
      </c>
      <c r="D18">
        <f t="shared" ca="1" si="5"/>
        <v>22</v>
      </c>
      <c r="E18">
        <f t="shared" ca="1" si="5"/>
        <v>19</v>
      </c>
      <c r="F18">
        <f t="shared" ca="1" si="5"/>
        <v>19</v>
      </c>
      <c r="G18">
        <f t="shared" ca="1" si="5"/>
        <v>19</v>
      </c>
      <c r="H18">
        <f t="shared" ca="1" si="5"/>
        <v>18</v>
      </c>
      <c r="I18">
        <f t="shared" ca="1" si="5"/>
        <v>17</v>
      </c>
      <c r="J18">
        <f t="shared" ca="1" si="5"/>
        <v>22</v>
      </c>
      <c r="K18">
        <f t="shared" ca="1" si="5"/>
        <v>23</v>
      </c>
      <c r="L18">
        <f t="shared" ca="1" si="5"/>
        <v>18</v>
      </c>
      <c r="N18" s="1">
        <f ca="1">AVERAGE(B18:M18)</f>
        <v>19.545454545454547</v>
      </c>
      <c r="P18" t="s">
        <v>19</v>
      </c>
      <c r="Q18" s="6">
        <v>38815</v>
      </c>
      <c r="T18">
        <v>33</v>
      </c>
    </row>
    <row r="19" spans="1:20" x14ac:dyDescent="0.3">
      <c r="P19" t="s">
        <v>88</v>
      </c>
      <c r="Q19" s="6">
        <v>39135</v>
      </c>
    </row>
    <row r="20" spans="1:20" x14ac:dyDescent="0.3">
      <c r="A20" t="s">
        <v>210</v>
      </c>
      <c r="B20" t="s">
        <v>187</v>
      </c>
      <c r="C20" t="s">
        <v>13</v>
      </c>
      <c r="D20" t="s">
        <v>120</v>
      </c>
      <c r="E20" t="s">
        <v>89</v>
      </c>
      <c r="F20" t="s">
        <v>20</v>
      </c>
      <c r="G20" t="s">
        <v>21</v>
      </c>
      <c r="H20" t="s">
        <v>211</v>
      </c>
      <c r="I20" t="s">
        <v>91</v>
      </c>
      <c r="J20" t="s">
        <v>157</v>
      </c>
      <c r="K20" t="s">
        <v>39</v>
      </c>
      <c r="L20" t="s">
        <v>121</v>
      </c>
      <c r="P20" t="s">
        <v>13</v>
      </c>
      <c r="Q20" s="6">
        <v>39895</v>
      </c>
    </row>
    <row r="21" spans="1:20" x14ac:dyDescent="0.3">
      <c r="B21">
        <f ca="1">DATEDIF(VLOOKUP(B20,$P$18:$Q$100,2,FALSE),TODAY(),"Y")</f>
        <v>20</v>
      </c>
      <c r="C21">
        <f t="shared" ref="C21:L21" ca="1" si="6">DATEDIF(VLOOKUP(C20,$P$18:$Q$100,2,FALSE),TODAY(),"Y")</f>
        <v>17</v>
      </c>
      <c r="D21">
        <f t="shared" ca="1" si="6"/>
        <v>21</v>
      </c>
      <c r="E21">
        <f t="shared" ca="1" si="6"/>
        <v>19</v>
      </c>
      <c r="F21">
        <f t="shared" ca="1" si="6"/>
        <v>19</v>
      </c>
      <c r="G21">
        <f t="shared" ca="1" si="6"/>
        <v>20</v>
      </c>
      <c r="H21">
        <f t="shared" ca="1" si="6"/>
        <v>24</v>
      </c>
      <c r="I21">
        <f t="shared" ca="1" si="6"/>
        <v>17</v>
      </c>
      <c r="J21">
        <f t="shared" ca="1" si="6"/>
        <v>22</v>
      </c>
      <c r="K21">
        <f t="shared" ca="1" si="6"/>
        <v>23</v>
      </c>
      <c r="L21">
        <f t="shared" ca="1" si="6"/>
        <v>23</v>
      </c>
      <c r="N21" s="1">
        <f ca="1">AVERAGE(B21:M21)</f>
        <v>20.454545454545453</v>
      </c>
      <c r="P21" t="s">
        <v>89</v>
      </c>
      <c r="Q21" s="6">
        <v>38965</v>
      </c>
    </row>
    <row r="22" spans="1:20" x14ac:dyDescent="0.3">
      <c r="P22" t="s">
        <v>20</v>
      </c>
      <c r="Q22" s="6">
        <v>39123</v>
      </c>
    </row>
    <row r="23" spans="1:20" x14ac:dyDescent="0.3">
      <c r="A23" t="s">
        <v>221</v>
      </c>
      <c r="B23" t="s">
        <v>187</v>
      </c>
      <c r="C23" t="s">
        <v>13</v>
      </c>
      <c r="D23" t="s">
        <v>208</v>
      </c>
      <c r="E23" t="s">
        <v>89</v>
      </c>
      <c r="F23" t="s">
        <v>20</v>
      </c>
      <c r="G23" t="s">
        <v>21</v>
      </c>
      <c r="H23" t="s">
        <v>211</v>
      </c>
      <c r="I23" t="s">
        <v>91</v>
      </c>
      <c r="J23" t="s">
        <v>88</v>
      </c>
      <c r="K23" t="s">
        <v>39</v>
      </c>
      <c r="L23" t="s">
        <v>158</v>
      </c>
      <c r="P23" t="s">
        <v>91</v>
      </c>
      <c r="Q23" s="6">
        <v>39689</v>
      </c>
    </row>
    <row r="24" spans="1:20" x14ac:dyDescent="0.3">
      <c r="B24">
        <f ca="1">DATEDIF(VLOOKUP(B23,$P$18:$Q$100,2,FALSE),TODAY(),"Y")</f>
        <v>20</v>
      </c>
      <c r="C24">
        <f t="shared" ref="C24:L24" ca="1" si="7">DATEDIF(VLOOKUP(C23,$P$18:$Q$100,2,FALSE),TODAY(),"Y")</f>
        <v>17</v>
      </c>
      <c r="D24">
        <f t="shared" ca="1" si="7"/>
        <v>18</v>
      </c>
      <c r="E24">
        <f t="shared" ca="1" si="7"/>
        <v>19</v>
      </c>
      <c r="F24">
        <f t="shared" ca="1" si="7"/>
        <v>19</v>
      </c>
      <c r="G24">
        <f t="shared" ca="1" si="7"/>
        <v>20</v>
      </c>
      <c r="H24">
        <f t="shared" ca="1" si="7"/>
        <v>24</v>
      </c>
      <c r="I24">
        <f t="shared" ca="1" si="7"/>
        <v>17</v>
      </c>
      <c r="J24">
        <f t="shared" ca="1" si="7"/>
        <v>19</v>
      </c>
      <c r="K24">
        <f t="shared" ca="1" si="7"/>
        <v>23</v>
      </c>
      <c r="L24">
        <f t="shared" ca="1" si="7"/>
        <v>19</v>
      </c>
      <c r="N24" s="1">
        <f ca="1">AVERAGE(B24:M24)</f>
        <v>19.545454545454547</v>
      </c>
      <c r="P24" t="s">
        <v>90</v>
      </c>
      <c r="Q24" s="6">
        <v>39460</v>
      </c>
    </row>
    <row r="25" spans="1:20" x14ac:dyDescent="0.3">
      <c r="P25" t="s">
        <v>39</v>
      </c>
      <c r="Q25" s="6">
        <v>37739</v>
      </c>
    </row>
    <row r="26" spans="1:20" x14ac:dyDescent="0.3">
      <c r="A26" t="s">
        <v>226</v>
      </c>
      <c r="B26" t="s">
        <v>187</v>
      </c>
      <c r="C26" t="s">
        <v>13</v>
      </c>
      <c r="D26" t="s">
        <v>157</v>
      </c>
      <c r="E26" t="s">
        <v>89</v>
      </c>
      <c r="F26" t="s">
        <v>20</v>
      </c>
      <c r="G26" t="s">
        <v>188</v>
      </c>
      <c r="H26" t="s">
        <v>30</v>
      </c>
      <c r="I26" t="s">
        <v>91</v>
      </c>
      <c r="J26" t="s">
        <v>88</v>
      </c>
      <c r="K26" t="s">
        <v>39</v>
      </c>
      <c r="L26" t="s">
        <v>158</v>
      </c>
      <c r="P26" t="s">
        <v>92</v>
      </c>
      <c r="Q26" s="6">
        <v>39654</v>
      </c>
    </row>
    <row r="27" spans="1:20" x14ac:dyDescent="0.3">
      <c r="B27">
        <f ca="1">DATEDIF(VLOOKUP(B26,$P$18:$Q$100,2,FALSE),TODAY(),"Y")</f>
        <v>20</v>
      </c>
      <c r="C27">
        <f t="shared" ref="C27:L27" ca="1" si="8">DATEDIF(VLOOKUP(C26,$P$18:$Q$100,2,FALSE),TODAY(),"Y")</f>
        <v>17</v>
      </c>
      <c r="D27">
        <f t="shared" ca="1" si="8"/>
        <v>22</v>
      </c>
      <c r="E27">
        <f t="shared" ca="1" si="8"/>
        <v>19</v>
      </c>
      <c r="F27">
        <f t="shared" ca="1" si="8"/>
        <v>19</v>
      </c>
      <c r="G27">
        <f t="shared" ca="1" si="8"/>
        <v>18</v>
      </c>
      <c r="H27">
        <f t="shared" ca="1" si="8"/>
        <v>22</v>
      </c>
      <c r="I27">
        <f t="shared" ca="1" si="8"/>
        <v>17</v>
      </c>
      <c r="J27">
        <f t="shared" ca="1" si="8"/>
        <v>19</v>
      </c>
      <c r="K27">
        <f t="shared" ca="1" si="8"/>
        <v>23</v>
      </c>
      <c r="L27">
        <f t="shared" ca="1" si="8"/>
        <v>19</v>
      </c>
      <c r="N27" s="1">
        <f ca="1">AVERAGE(B27:M27)</f>
        <v>19.545454545454547</v>
      </c>
      <c r="P27" t="s">
        <v>30</v>
      </c>
      <c r="Q27" s="6">
        <v>38020</v>
      </c>
    </row>
    <row r="28" spans="1:20" x14ac:dyDescent="0.3">
      <c r="P28" t="s">
        <v>21</v>
      </c>
      <c r="Q28" s="6">
        <v>38566</v>
      </c>
    </row>
    <row r="29" spans="1:20" x14ac:dyDescent="0.3">
      <c r="A29" t="s">
        <v>233</v>
      </c>
      <c r="B29" t="s">
        <v>234</v>
      </c>
      <c r="C29" t="s">
        <v>235</v>
      </c>
      <c r="D29" t="s">
        <v>208</v>
      </c>
      <c r="E29" t="s">
        <v>88</v>
      </c>
      <c r="F29" t="s">
        <v>20</v>
      </c>
      <c r="G29" t="s">
        <v>89</v>
      </c>
      <c r="H29" t="s">
        <v>236</v>
      </c>
      <c r="I29" t="s">
        <v>157</v>
      </c>
      <c r="J29" t="s">
        <v>91</v>
      </c>
      <c r="K29" t="s">
        <v>237</v>
      </c>
      <c r="L29" t="s">
        <v>92</v>
      </c>
      <c r="P29" t="s">
        <v>122</v>
      </c>
      <c r="Q29" s="6">
        <v>38152</v>
      </c>
    </row>
    <row r="30" spans="1:20" x14ac:dyDescent="0.3">
      <c r="B30">
        <f ca="1">DATEDIF(VLOOKUP(B29,$P$18:$Q$100,2,FALSE),TODAY(),"Y")</f>
        <v>19</v>
      </c>
      <c r="C30">
        <f t="shared" ref="C30:L30" ca="1" si="9">DATEDIF(VLOOKUP(C29,$P$18:$Q$100,2,FALSE),TODAY(),"Y")</f>
        <v>20</v>
      </c>
      <c r="D30">
        <f t="shared" ca="1" si="9"/>
        <v>18</v>
      </c>
      <c r="E30">
        <f t="shared" ca="1" si="9"/>
        <v>19</v>
      </c>
      <c r="F30">
        <f t="shared" ca="1" si="9"/>
        <v>19</v>
      </c>
      <c r="G30">
        <f t="shared" ca="1" si="9"/>
        <v>19</v>
      </c>
      <c r="H30">
        <f t="shared" ca="1" si="9"/>
        <v>17</v>
      </c>
      <c r="I30">
        <f t="shared" ca="1" si="9"/>
        <v>22</v>
      </c>
      <c r="J30">
        <f t="shared" ca="1" si="9"/>
        <v>17</v>
      </c>
      <c r="K30">
        <f t="shared" ca="1" si="9"/>
        <v>18</v>
      </c>
      <c r="L30">
        <f t="shared" ca="1" si="9"/>
        <v>17</v>
      </c>
      <c r="N30" s="1">
        <f ca="1">AVERAGE(B30:M30)</f>
        <v>18.636363636363637</v>
      </c>
      <c r="P30" t="s">
        <v>120</v>
      </c>
      <c r="Q30" s="6">
        <v>38392</v>
      </c>
    </row>
    <row r="31" spans="1:20" x14ac:dyDescent="0.3">
      <c r="P31" t="s">
        <v>121</v>
      </c>
      <c r="Q31" s="6">
        <v>37447</v>
      </c>
    </row>
    <row r="32" spans="1:20" x14ac:dyDescent="0.3">
      <c r="A32" t="s">
        <v>240</v>
      </c>
      <c r="B32" t="s">
        <v>187</v>
      </c>
      <c r="C32" t="s">
        <v>235</v>
      </c>
      <c r="D32" t="s">
        <v>209</v>
      </c>
      <c r="E32" t="s">
        <v>88</v>
      </c>
      <c r="F32" t="s">
        <v>20</v>
      </c>
      <c r="G32" t="s">
        <v>89</v>
      </c>
      <c r="H32" t="s">
        <v>211</v>
      </c>
      <c r="I32" t="s">
        <v>157</v>
      </c>
      <c r="J32" t="s">
        <v>91</v>
      </c>
      <c r="K32" t="s">
        <v>30</v>
      </c>
      <c r="L32" t="s">
        <v>121</v>
      </c>
      <c r="P32" t="s">
        <v>156</v>
      </c>
      <c r="Q32" s="6">
        <v>38790</v>
      </c>
    </row>
    <row r="33" spans="1:17" x14ac:dyDescent="0.3">
      <c r="B33">
        <f ca="1">DATEDIF(VLOOKUP(B32,$P$18:$Q$100,2,FALSE),TODAY(),"Y")</f>
        <v>20</v>
      </c>
      <c r="C33">
        <f t="shared" ref="C33:L33" ca="1" si="10">DATEDIF(VLOOKUP(C32,$P$18:$Q$100,2,FALSE),TODAY(),"Y")</f>
        <v>20</v>
      </c>
      <c r="D33">
        <f t="shared" ca="1" si="10"/>
        <v>18</v>
      </c>
      <c r="E33">
        <f t="shared" ca="1" si="10"/>
        <v>19</v>
      </c>
      <c r="F33">
        <f t="shared" ca="1" si="10"/>
        <v>19</v>
      </c>
      <c r="G33">
        <f t="shared" ca="1" si="10"/>
        <v>19</v>
      </c>
      <c r="H33">
        <f t="shared" ca="1" si="10"/>
        <v>24</v>
      </c>
      <c r="I33">
        <f t="shared" ca="1" si="10"/>
        <v>22</v>
      </c>
      <c r="J33">
        <f t="shared" ca="1" si="10"/>
        <v>17</v>
      </c>
      <c r="K33">
        <f t="shared" ca="1" si="10"/>
        <v>22</v>
      </c>
      <c r="L33">
        <f t="shared" ca="1" si="10"/>
        <v>23</v>
      </c>
      <c r="N33" s="1">
        <f ca="1">AVERAGE(B33:M33)</f>
        <v>20.272727272727273</v>
      </c>
      <c r="P33" t="s">
        <v>157</v>
      </c>
      <c r="Q33" s="6">
        <v>38012</v>
      </c>
    </row>
    <row r="34" spans="1:17" x14ac:dyDescent="0.3">
      <c r="P34" t="s">
        <v>158</v>
      </c>
      <c r="Q34" s="6">
        <v>39085</v>
      </c>
    </row>
    <row r="35" spans="1:17" x14ac:dyDescent="0.3">
      <c r="A35" t="s">
        <v>242</v>
      </c>
      <c r="B35" t="s">
        <v>187</v>
      </c>
      <c r="C35" t="s">
        <v>235</v>
      </c>
      <c r="D35" t="s">
        <v>90</v>
      </c>
      <c r="E35" t="s">
        <v>21</v>
      </c>
      <c r="F35" t="s">
        <v>20</v>
      </c>
      <c r="G35" t="s">
        <v>89</v>
      </c>
      <c r="H35" t="s">
        <v>211</v>
      </c>
      <c r="I35" t="s">
        <v>13</v>
      </c>
      <c r="J35" t="s">
        <v>91</v>
      </c>
      <c r="K35" t="s">
        <v>30</v>
      </c>
      <c r="L35" t="s">
        <v>121</v>
      </c>
      <c r="P35" t="s">
        <v>187</v>
      </c>
      <c r="Q35" s="6">
        <v>38728</v>
      </c>
    </row>
    <row r="36" spans="1:17" x14ac:dyDescent="0.3">
      <c r="B36">
        <f ca="1">DATEDIF(VLOOKUP(B35,$P$18:$Q$100,2,FALSE),TODAY(),"Y")</f>
        <v>20</v>
      </c>
      <c r="C36">
        <f t="shared" ref="C36:L36" ca="1" si="11">DATEDIF(VLOOKUP(C35,$P$18:$Q$100,2,FALSE),TODAY(),"Y")</f>
        <v>20</v>
      </c>
      <c r="D36">
        <f t="shared" ca="1" si="11"/>
        <v>18</v>
      </c>
      <c r="E36">
        <f t="shared" ca="1" si="11"/>
        <v>20</v>
      </c>
      <c r="F36">
        <f t="shared" ca="1" si="11"/>
        <v>19</v>
      </c>
      <c r="G36">
        <f t="shared" ca="1" si="11"/>
        <v>19</v>
      </c>
      <c r="H36">
        <f t="shared" ca="1" si="11"/>
        <v>24</v>
      </c>
      <c r="I36">
        <f t="shared" ca="1" si="11"/>
        <v>17</v>
      </c>
      <c r="J36">
        <f t="shared" ca="1" si="11"/>
        <v>17</v>
      </c>
      <c r="K36">
        <f t="shared" ca="1" si="11"/>
        <v>22</v>
      </c>
      <c r="L36">
        <f t="shared" ca="1" si="11"/>
        <v>23</v>
      </c>
      <c r="N36" s="1">
        <f ca="1">AVERAGE(B36:M36)</f>
        <v>19.90909090909091</v>
      </c>
      <c r="P36" t="s">
        <v>188</v>
      </c>
      <c r="Q36" s="6">
        <v>39538</v>
      </c>
    </row>
    <row r="37" spans="1:17" x14ac:dyDescent="0.3">
      <c r="P37" t="s">
        <v>208</v>
      </c>
      <c r="Q37" s="6">
        <v>39427</v>
      </c>
    </row>
    <row r="38" spans="1:17" x14ac:dyDescent="0.3">
      <c r="A38" t="s">
        <v>249</v>
      </c>
      <c r="B38" t="s">
        <v>187</v>
      </c>
      <c r="C38" t="s">
        <v>88</v>
      </c>
      <c r="D38" t="s">
        <v>90</v>
      </c>
      <c r="E38" t="s">
        <v>21</v>
      </c>
      <c r="F38" t="s">
        <v>20</v>
      </c>
      <c r="G38" t="s">
        <v>89</v>
      </c>
      <c r="H38" t="s">
        <v>211</v>
      </c>
      <c r="I38" t="s">
        <v>13</v>
      </c>
      <c r="J38" t="s">
        <v>188</v>
      </c>
      <c r="K38" t="s">
        <v>30</v>
      </c>
      <c r="L38" t="s">
        <v>158</v>
      </c>
      <c r="P38" t="s">
        <v>209</v>
      </c>
      <c r="Q38" s="6">
        <v>39500</v>
      </c>
    </row>
    <row r="39" spans="1:17" x14ac:dyDescent="0.3">
      <c r="B39">
        <f ca="1">DATEDIF(VLOOKUP(B38,$P$18:$Q$100,2,FALSE),TODAY(),"Y")</f>
        <v>20</v>
      </c>
      <c r="C39">
        <f t="shared" ref="C39:L39" ca="1" si="12">DATEDIF(VLOOKUP(C38,$P$18:$Q$100,2,FALSE),TODAY(),"Y")</f>
        <v>19</v>
      </c>
      <c r="D39">
        <f t="shared" ca="1" si="12"/>
        <v>18</v>
      </c>
      <c r="E39">
        <f t="shared" ca="1" si="12"/>
        <v>20</v>
      </c>
      <c r="F39">
        <f t="shared" ca="1" si="12"/>
        <v>19</v>
      </c>
      <c r="G39">
        <f t="shared" ca="1" si="12"/>
        <v>19</v>
      </c>
      <c r="H39">
        <f t="shared" ca="1" si="12"/>
        <v>24</v>
      </c>
      <c r="I39">
        <f t="shared" ca="1" si="12"/>
        <v>17</v>
      </c>
      <c r="J39">
        <f t="shared" ca="1" si="12"/>
        <v>18</v>
      </c>
      <c r="K39">
        <f t="shared" ca="1" si="12"/>
        <v>22</v>
      </c>
      <c r="L39">
        <f t="shared" ca="1" si="12"/>
        <v>19</v>
      </c>
      <c r="N39" s="1">
        <f ca="1">AVERAGE(B39:M39)</f>
        <v>19.545454545454547</v>
      </c>
      <c r="P39" t="s">
        <v>211</v>
      </c>
      <c r="Q39" s="6">
        <v>37302</v>
      </c>
    </row>
    <row r="40" spans="1:17" x14ac:dyDescent="0.3">
      <c r="P40" t="s">
        <v>234</v>
      </c>
      <c r="Q40" s="6">
        <v>38913</v>
      </c>
    </row>
    <row r="41" spans="1:17" x14ac:dyDescent="0.3">
      <c r="A41" t="s">
        <v>256</v>
      </c>
      <c r="B41" t="s">
        <v>187</v>
      </c>
      <c r="C41" t="s">
        <v>208</v>
      </c>
      <c r="D41" t="s">
        <v>90</v>
      </c>
      <c r="E41" t="s">
        <v>257</v>
      </c>
      <c r="F41" t="s">
        <v>20</v>
      </c>
      <c r="G41" t="s">
        <v>89</v>
      </c>
      <c r="H41" t="s">
        <v>91</v>
      </c>
      <c r="I41" t="s">
        <v>13</v>
      </c>
      <c r="J41" t="s">
        <v>188</v>
      </c>
      <c r="K41" t="s">
        <v>30</v>
      </c>
      <c r="L41" t="s">
        <v>158</v>
      </c>
      <c r="P41" t="s">
        <v>235</v>
      </c>
      <c r="Q41" s="6">
        <v>38795</v>
      </c>
    </row>
    <row r="42" spans="1:17" x14ac:dyDescent="0.3">
      <c r="B42">
        <f ca="1">DATEDIF(VLOOKUP(B41,$P$18:$Q$100,2,FALSE),TODAY(),"Y")</f>
        <v>20</v>
      </c>
      <c r="C42">
        <f t="shared" ref="C42:L42" ca="1" si="13">DATEDIF(VLOOKUP(C41,$P$18:$Q$100,2,FALSE),TODAY(),"Y")</f>
        <v>18</v>
      </c>
      <c r="D42">
        <f t="shared" ca="1" si="13"/>
        <v>18</v>
      </c>
      <c r="E42">
        <f t="shared" ca="1" si="13"/>
        <v>22</v>
      </c>
      <c r="F42">
        <f t="shared" ca="1" si="13"/>
        <v>19</v>
      </c>
      <c r="G42">
        <f t="shared" ca="1" si="13"/>
        <v>19</v>
      </c>
      <c r="H42">
        <f t="shared" ca="1" si="13"/>
        <v>17</v>
      </c>
      <c r="I42">
        <f t="shared" ca="1" si="13"/>
        <v>17</v>
      </c>
      <c r="J42">
        <f t="shared" ca="1" si="13"/>
        <v>18</v>
      </c>
      <c r="K42">
        <f t="shared" ca="1" si="13"/>
        <v>22</v>
      </c>
      <c r="L42">
        <f t="shared" ca="1" si="13"/>
        <v>19</v>
      </c>
      <c r="N42" s="1">
        <f ca="1">AVERAGE(B42:M42)</f>
        <v>19</v>
      </c>
      <c r="P42" t="s">
        <v>236</v>
      </c>
      <c r="Q42" s="6">
        <v>39771</v>
      </c>
    </row>
    <row r="43" spans="1:17" x14ac:dyDescent="0.3">
      <c r="P43" t="s">
        <v>237</v>
      </c>
      <c r="Q43" s="6">
        <v>39339</v>
      </c>
    </row>
    <row r="44" spans="1:17" x14ac:dyDescent="0.3">
      <c r="A44" t="s">
        <v>262</v>
      </c>
      <c r="B44" t="s">
        <v>187</v>
      </c>
      <c r="C44" t="s">
        <v>88</v>
      </c>
      <c r="D44" t="s">
        <v>39</v>
      </c>
      <c r="E44" t="s">
        <v>257</v>
      </c>
      <c r="F44" t="s">
        <v>20</v>
      </c>
      <c r="G44" t="s">
        <v>89</v>
      </c>
      <c r="H44" t="s">
        <v>211</v>
      </c>
      <c r="I44" t="s">
        <v>13</v>
      </c>
      <c r="J44" t="s">
        <v>21</v>
      </c>
      <c r="K44" t="s">
        <v>30</v>
      </c>
      <c r="L44" t="s">
        <v>158</v>
      </c>
      <c r="P44" t="s">
        <v>257</v>
      </c>
      <c r="Q44" s="6">
        <v>37852</v>
      </c>
    </row>
    <row r="45" spans="1:17" x14ac:dyDescent="0.3">
      <c r="B45">
        <f ca="1">DATEDIF(VLOOKUP(B44,$P$18:$Q$100,2,FALSE),TODAY(),"Y")</f>
        <v>20</v>
      </c>
      <c r="C45">
        <f t="shared" ref="C45:L45" ca="1" si="14">DATEDIF(VLOOKUP(C44,$P$18:$Q$100,2,FALSE),TODAY(),"Y")</f>
        <v>19</v>
      </c>
      <c r="D45">
        <f t="shared" ca="1" si="14"/>
        <v>23</v>
      </c>
      <c r="E45">
        <f t="shared" ca="1" si="14"/>
        <v>22</v>
      </c>
      <c r="F45">
        <f t="shared" ca="1" si="14"/>
        <v>19</v>
      </c>
      <c r="G45">
        <f t="shared" ca="1" si="14"/>
        <v>19</v>
      </c>
      <c r="H45">
        <f t="shared" ca="1" si="14"/>
        <v>24</v>
      </c>
      <c r="I45">
        <f t="shared" ca="1" si="14"/>
        <v>17</v>
      </c>
      <c r="J45">
        <f t="shared" ca="1" si="14"/>
        <v>20</v>
      </c>
      <c r="K45">
        <f t="shared" ca="1" si="14"/>
        <v>22</v>
      </c>
      <c r="L45">
        <f t="shared" ca="1" si="14"/>
        <v>19</v>
      </c>
      <c r="N45" s="1">
        <f ca="1">AVERAGE(B45:M45)</f>
        <v>20.363636363636363</v>
      </c>
      <c r="P45" t="s">
        <v>304</v>
      </c>
      <c r="Q45" s="6">
        <v>38724</v>
      </c>
    </row>
    <row r="46" spans="1:17" x14ac:dyDescent="0.3">
      <c r="P46" t="s">
        <v>303</v>
      </c>
      <c r="Q46" s="6">
        <v>37752</v>
      </c>
    </row>
    <row r="47" spans="1:17" x14ac:dyDescent="0.3">
      <c r="A47" t="s">
        <v>267</v>
      </c>
      <c r="B47" t="s">
        <v>187</v>
      </c>
      <c r="C47" t="s">
        <v>90</v>
      </c>
      <c r="D47" t="s">
        <v>39</v>
      </c>
      <c r="E47" t="s">
        <v>257</v>
      </c>
      <c r="F47" t="s">
        <v>20</v>
      </c>
      <c r="G47" t="s">
        <v>89</v>
      </c>
      <c r="H47" t="s">
        <v>211</v>
      </c>
      <c r="I47" t="s">
        <v>13</v>
      </c>
      <c r="J47" t="s">
        <v>21</v>
      </c>
      <c r="K47" t="s">
        <v>30</v>
      </c>
      <c r="L47" t="s">
        <v>158</v>
      </c>
      <c r="P47" t="s">
        <v>320</v>
      </c>
      <c r="Q47" s="6">
        <v>38991</v>
      </c>
    </row>
    <row r="48" spans="1:17" x14ac:dyDescent="0.3">
      <c r="B48">
        <f ca="1">DATEDIF(VLOOKUP(B47,$P$18:$Q$100,2,FALSE),TODAY(),"Y")</f>
        <v>20</v>
      </c>
      <c r="C48">
        <f t="shared" ref="C48:L48" ca="1" si="15">DATEDIF(VLOOKUP(C47,$P$18:$Q$100,2,FALSE),TODAY(),"Y")</f>
        <v>18</v>
      </c>
      <c r="D48">
        <f t="shared" ca="1" si="15"/>
        <v>23</v>
      </c>
      <c r="E48">
        <f t="shared" ca="1" si="15"/>
        <v>22</v>
      </c>
      <c r="F48">
        <f t="shared" ca="1" si="15"/>
        <v>19</v>
      </c>
      <c r="G48">
        <f t="shared" ca="1" si="15"/>
        <v>19</v>
      </c>
      <c r="H48">
        <f t="shared" ca="1" si="15"/>
        <v>24</v>
      </c>
      <c r="I48">
        <f t="shared" ca="1" si="15"/>
        <v>17</v>
      </c>
      <c r="J48">
        <f t="shared" ca="1" si="15"/>
        <v>20</v>
      </c>
      <c r="K48">
        <f t="shared" ca="1" si="15"/>
        <v>22</v>
      </c>
      <c r="L48">
        <f t="shared" ca="1" si="15"/>
        <v>19</v>
      </c>
      <c r="N48" s="1">
        <f ca="1">AVERAGE(B48:M48)</f>
        <v>20.272727272727273</v>
      </c>
      <c r="P48" t="s">
        <v>323</v>
      </c>
      <c r="Q48" s="6">
        <v>36592</v>
      </c>
    </row>
    <row r="49" spans="1:17" x14ac:dyDescent="0.3">
      <c r="P49" t="s">
        <v>324</v>
      </c>
      <c r="Q49" s="6">
        <v>39692</v>
      </c>
    </row>
    <row r="50" spans="1:17" x14ac:dyDescent="0.3">
      <c r="A50" t="s">
        <v>55</v>
      </c>
      <c r="B50" t="s">
        <v>303</v>
      </c>
      <c r="C50" t="s">
        <v>208</v>
      </c>
      <c r="D50" t="s">
        <v>13</v>
      </c>
      <c r="E50" t="s">
        <v>20</v>
      </c>
      <c r="F50" t="s">
        <v>157</v>
      </c>
      <c r="G50" t="s">
        <v>211</v>
      </c>
      <c r="H50" t="s">
        <v>91</v>
      </c>
      <c r="I50" t="s">
        <v>304</v>
      </c>
      <c r="J50" t="s">
        <v>236</v>
      </c>
      <c r="K50" t="s">
        <v>30</v>
      </c>
      <c r="L50" t="s">
        <v>158</v>
      </c>
      <c r="P50" t="s">
        <v>332</v>
      </c>
      <c r="Q50" s="6">
        <v>39829</v>
      </c>
    </row>
    <row r="51" spans="1:17" x14ac:dyDescent="0.3">
      <c r="B51">
        <f ca="1">DATEDIF(VLOOKUP(B50,$P$18:$Q$100,2,FALSE),TODAY(),"Y")</f>
        <v>23</v>
      </c>
      <c r="C51">
        <f t="shared" ref="C51:L51" ca="1" si="16">DATEDIF(VLOOKUP(C50,$P$18:$Q$100,2,FALSE),TODAY(),"Y")</f>
        <v>18</v>
      </c>
      <c r="D51">
        <f t="shared" ca="1" si="16"/>
        <v>17</v>
      </c>
      <c r="E51">
        <f t="shared" ca="1" si="16"/>
        <v>19</v>
      </c>
      <c r="F51">
        <f t="shared" ca="1" si="16"/>
        <v>22</v>
      </c>
      <c r="G51">
        <f t="shared" ca="1" si="16"/>
        <v>24</v>
      </c>
      <c r="H51">
        <f t="shared" ca="1" si="16"/>
        <v>17</v>
      </c>
      <c r="I51">
        <f t="shared" ca="1" si="16"/>
        <v>20</v>
      </c>
      <c r="J51">
        <f t="shared" ca="1" si="16"/>
        <v>17</v>
      </c>
      <c r="K51">
        <f t="shared" ca="1" si="16"/>
        <v>22</v>
      </c>
      <c r="L51">
        <f t="shared" ca="1" si="16"/>
        <v>19</v>
      </c>
      <c r="N51" s="1">
        <f ca="1">AVERAGE(B51:M51)</f>
        <v>19.818181818181817</v>
      </c>
    </row>
    <row r="53" spans="1:17" x14ac:dyDescent="0.3">
      <c r="A53" t="s">
        <v>119</v>
      </c>
      <c r="B53" t="s">
        <v>187</v>
      </c>
      <c r="C53" t="s">
        <v>208</v>
      </c>
      <c r="D53" t="s">
        <v>88</v>
      </c>
      <c r="E53" t="s">
        <v>20</v>
      </c>
      <c r="F53" t="s">
        <v>89</v>
      </c>
      <c r="G53" t="s">
        <v>157</v>
      </c>
      <c r="H53" t="s">
        <v>211</v>
      </c>
      <c r="I53" t="s">
        <v>304</v>
      </c>
      <c r="J53" t="s">
        <v>21</v>
      </c>
      <c r="K53" t="s">
        <v>30</v>
      </c>
      <c r="L53" t="s">
        <v>158</v>
      </c>
    </row>
    <row r="54" spans="1:17" x14ac:dyDescent="0.3">
      <c r="B54">
        <f ca="1">DATEDIF(VLOOKUP(B53,$P$18:$Q$100,2,FALSE),TODAY(),"Y")</f>
        <v>20</v>
      </c>
      <c r="C54">
        <f t="shared" ref="C54:L54" ca="1" si="17">DATEDIF(VLOOKUP(C53,$P$18:$Q$100,2,FALSE),TODAY(),"Y")</f>
        <v>18</v>
      </c>
      <c r="D54">
        <f t="shared" ca="1" si="17"/>
        <v>19</v>
      </c>
      <c r="E54">
        <f t="shared" ca="1" si="17"/>
        <v>19</v>
      </c>
      <c r="F54">
        <f t="shared" ca="1" si="17"/>
        <v>19</v>
      </c>
      <c r="G54">
        <f t="shared" ca="1" si="17"/>
        <v>22</v>
      </c>
      <c r="H54">
        <f t="shared" ca="1" si="17"/>
        <v>24</v>
      </c>
      <c r="I54">
        <f t="shared" ca="1" si="17"/>
        <v>20</v>
      </c>
      <c r="J54">
        <f t="shared" ca="1" si="17"/>
        <v>20</v>
      </c>
      <c r="K54">
        <f t="shared" ca="1" si="17"/>
        <v>22</v>
      </c>
      <c r="L54">
        <f t="shared" ca="1" si="17"/>
        <v>19</v>
      </c>
      <c r="N54" s="1">
        <f ca="1">AVERAGE(B54:M54)</f>
        <v>20.181818181818183</v>
      </c>
    </row>
    <row r="56" spans="1:17" x14ac:dyDescent="0.3">
      <c r="A56" t="s">
        <v>186</v>
      </c>
      <c r="B56" t="s">
        <v>303</v>
      </c>
      <c r="C56" t="s">
        <v>209</v>
      </c>
      <c r="D56" t="s">
        <v>88</v>
      </c>
      <c r="E56" t="s">
        <v>20</v>
      </c>
      <c r="F56" t="s">
        <v>89</v>
      </c>
      <c r="G56" t="s">
        <v>157</v>
      </c>
      <c r="H56" t="s">
        <v>91</v>
      </c>
      <c r="I56" t="s">
        <v>304</v>
      </c>
      <c r="J56" t="s">
        <v>21</v>
      </c>
      <c r="K56" t="s">
        <v>30</v>
      </c>
      <c r="L56" t="s">
        <v>158</v>
      </c>
    </row>
    <row r="57" spans="1:17" x14ac:dyDescent="0.3">
      <c r="B57">
        <f ca="1">DATEDIF(VLOOKUP(B56,$P$18:$Q$100,2,FALSE),TODAY(),"Y")</f>
        <v>23</v>
      </c>
      <c r="C57">
        <f t="shared" ref="C57:L57" ca="1" si="18">DATEDIF(VLOOKUP(C56,$P$18:$Q$100,2,FALSE),TODAY(),"Y")</f>
        <v>18</v>
      </c>
      <c r="D57">
        <f t="shared" ca="1" si="18"/>
        <v>19</v>
      </c>
      <c r="E57">
        <f t="shared" ca="1" si="18"/>
        <v>19</v>
      </c>
      <c r="F57">
        <f t="shared" ca="1" si="18"/>
        <v>19</v>
      </c>
      <c r="G57">
        <f t="shared" ca="1" si="18"/>
        <v>22</v>
      </c>
      <c r="H57">
        <f t="shared" ca="1" si="18"/>
        <v>17</v>
      </c>
      <c r="I57">
        <f t="shared" ca="1" si="18"/>
        <v>20</v>
      </c>
      <c r="J57">
        <f t="shared" ca="1" si="18"/>
        <v>20</v>
      </c>
      <c r="K57">
        <f t="shared" ca="1" si="18"/>
        <v>22</v>
      </c>
      <c r="L57">
        <f t="shared" ca="1" si="18"/>
        <v>19</v>
      </c>
      <c r="N57" s="1">
        <f ca="1">AVERAGE(B57:M57)</f>
        <v>19.818181818181817</v>
      </c>
    </row>
    <row r="59" spans="1:17" x14ac:dyDescent="0.3">
      <c r="A59" t="s">
        <v>207</v>
      </c>
      <c r="B59" t="s">
        <v>303</v>
      </c>
      <c r="C59" t="s">
        <v>320</v>
      </c>
      <c r="D59" t="s">
        <v>88</v>
      </c>
      <c r="E59" t="s">
        <v>208</v>
      </c>
      <c r="F59" t="s">
        <v>89</v>
      </c>
      <c r="G59" t="s">
        <v>157</v>
      </c>
      <c r="H59" t="s">
        <v>91</v>
      </c>
      <c r="I59" t="s">
        <v>304</v>
      </c>
      <c r="J59" t="s">
        <v>21</v>
      </c>
      <c r="K59" t="s">
        <v>30</v>
      </c>
      <c r="L59" t="s">
        <v>158</v>
      </c>
    </row>
    <row r="60" spans="1:17" x14ac:dyDescent="0.3">
      <c r="B60">
        <f ca="1">DATEDIF(VLOOKUP(B59,$P$18:$Q$100,2,FALSE),TODAY(),"Y")</f>
        <v>23</v>
      </c>
      <c r="C60">
        <f t="shared" ref="C60:L60" ca="1" si="19">DATEDIF(VLOOKUP(C59,$P$18:$Q$100,2,FALSE),TODAY(),"Y")</f>
        <v>19</v>
      </c>
      <c r="D60">
        <f t="shared" ca="1" si="19"/>
        <v>19</v>
      </c>
      <c r="E60">
        <f t="shared" ca="1" si="19"/>
        <v>18</v>
      </c>
      <c r="F60">
        <f t="shared" ca="1" si="19"/>
        <v>19</v>
      </c>
      <c r="G60">
        <f t="shared" ca="1" si="19"/>
        <v>22</v>
      </c>
      <c r="H60">
        <f t="shared" ca="1" si="19"/>
        <v>17</v>
      </c>
      <c r="I60">
        <f t="shared" ca="1" si="19"/>
        <v>20</v>
      </c>
      <c r="J60">
        <f t="shared" ca="1" si="19"/>
        <v>20</v>
      </c>
      <c r="K60">
        <f t="shared" ca="1" si="19"/>
        <v>22</v>
      </c>
      <c r="L60">
        <f t="shared" ca="1" si="19"/>
        <v>19</v>
      </c>
      <c r="N60" s="1">
        <f ca="1">AVERAGE(B60:M60)</f>
        <v>19.818181818181817</v>
      </c>
    </row>
    <row r="62" spans="1:17" x14ac:dyDescent="0.3">
      <c r="A62" t="s">
        <v>210</v>
      </c>
      <c r="B62" t="s">
        <v>323</v>
      </c>
      <c r="C62" t="s">
        <v>20</v>
      </c>
      <c r="D62" t="s">
        <v>89</v>
      </c>
      <c r="E62" t="s">
        <v>157</v>
      </c>
      <c r="F62" t="s">
        <v>21</v>
      </c>
      <c r="G62" t="s">
        <v>91</v>
      </c>
      <c r="H62" t="s">
        <v>90</v>
      </c>
      <c r="I62" t="s">
        <v>304</v>
      </c>
      <c r="J62" t="s">
        <v>158</v>
      </c>
      <c r="K62" t="s">
        <v>324</v>
      </c>
      <c r="L62" t="s">
        <v>320</v>
      </c>
    </row>
    <row r="63" spans="1:17" x14ac:dyDescent="0.3">
      <c r="B63">
        <f ca="1">DATEDIF(VLOOKUP(B62,$P$18:$Q$100,2,FALSE),TODAY(),"Y")</f>
        <v>26</v>
      </c>
      <c r="C63">
        <f t="shared" ref="C63:L63" ca="1" si="20">DATEDIF(VLOOKUP(C62,$P$18:$Q$100,2,FALSE),TODAY(),"Y")</f>
        <v>19</v>
      </c>
      <c r="D63">
        <f t="shared" ca="1" si="20"/>
        <v>19</v>
      </c>
      <c r="E63">
        <f t="shared" ca="1" si="20"/>
        <v>22</v>
      </c>
      <c r="F63">
        <f t="shared" ca="1" si="20"/>
        <v>20</v>
      </c>
      <c r="G63">
        <f t="shared" ca="1" si="20"/>
        <v>17</v>
      </c>
      <c r="H63">
        <f t="shared" ca="1" si="20"/>
        <v>18</v>
      </c>
      <c r="I63">
        <f t="shared" ca="1" si="20"/>
        <v>20</v>
      </c>
      <c r="J63">
        <f t="shared" ca="1" si="20"/>
        <v>19</v>
      </c>
      <c r="K63">
        <f t="shared" ca="1" si="20"/>
        <v>17</v>
      </c>
      <c r="L63">
        <f t="shared" ca="1" si="20"/>
        <v>19</v>
      </c>
      <c r="N63" s="1">
        <f ca="1">AVERAGE(B63:M63)</f>
        <v>19.636363636363637</v>
      </c>
    </row>
    <row r="65" spans="1:14" x14ac:dyDescent="0.3">
      <c r="A65" t="s">
        <v>221</v>
      </c>
      <c r="B65" t="s">
        <v>187</v>
      </c>
      <c r="C65" t="s">
        <v>20</v>
      </c>
      <c r="D65" t="s">
        <v>89</v>
      </c>
      <c r="E65" t="s">
        <v>157</v>
      </c>
      <c r="F65" t="s">
        <v>21</v>
      </c>
      <c r="G65" t="s">
        <v>91</v>
      </c>
      <c r="H65" t="s">
        <v>90</v>
      </c>
      <c r="I65" t="s">
        <v>257</v>
      </c>
      <c r="J65" t="s">
        <v>236</v>
      </c>
      <c r="K65" t="s">
        <v>324</v>
      </c>
      <c r="L65" t="s">
        <v>332</v>
      </c>
    </row>
    <row r="66" spans="1:14" x14ac:dyDescent="0.3">
      <c r="B66">
        <f ca="1">DATEDIF(VLOOKUP(B65,$P$18:$Q$100,2,FALSE),TODAY(),"Y")</f>
        <v>20</v>
      </c>
      <c r="C66">
        <f t="shared" ref="C66:L66" ca="1" si="21">DATEDIF(VLOOKUP(C65,$P$18:$Q$100,2,FALSE),TODAY(),"Y")</f>
        <v>19</v>
      </c>
      <c r="D66">
        <f t="shared" ca="1" si="21"/>
        <v>19</v>
      </c>
      <c r="E66">
        <f t="shared" ca="1" si="21"/>
        <v>22</v>
      </c>
      <c r="F66">
        <f t="shared" ca="1" si="21"/>
        <v>20</v>
      </c>
      <c r="G66">
        <f t="shared" ca="1" si="21"/>
        <v>17</v>
      </c>
      <c r="H66">
        <f t="shared" ca="1" si="21"/>
        <v>18</v>
      </c>
      <c r="I66">
        <f t="shared" ca="1" si="21"/>
        <v>22</v>
      </c>
      <c r="J66">
        <f t="shared" ca="1" si="21"/>
        <v>17</v>
      </c>
      <c r="K66">
        <f t="shared" ca="1" si="21"/>
        <v>17</v>
      </c>
      <c r="L66">
        <f t="shared" ca="1" si="21"/>
        <v>17</v>
      </c>
      <c r="N66" s="1">
        <f ca="1">AVERAGE(B66:M66)</f>
        <v>18.90909090909091</v>
      </c>
    </row>
    <row r="68" spans="1:14" x14ac:dyDescent="0.3">
      <c r="A68" t="s">
        <v>226</v>
      </c>
      <c r="B68" t="s">
        <v>303</v>
      </c>
      <c r="C68" t="s">
        <v>334</v>
      </c>
      <c r="D68" t="s">
        <v>20</v>
      </c>
      <c r="E68" t="s">
        <v>89</v>
      </c>
      <c r="F68" t="s">
        <v>257</v>
      </c>
      <c r="G68" t="s">
        <v>157</v>
      </c>
      <c r="H68" t="s">
        <v>91</v>
      </c>
      <c r="I68" t="s">
        <v>90</v>
      </c>
      <c r="J68" t="s">
        <v>188</v>
      </c>
      <c r="K68" t="s">
        <v>235</v>
      </c>
      <c r="L68" t="s">
        <v>30</v>
      </c>
    </row>
    <row r="69" spans="1:14" x14ac:dyDescent="0.3">
      <c r="B69">
        <f ca="1">DATEDIF(VLOOKUP(B68,$P$18:$Q$100,2,FALSE),TODAY(),"Y")</f>
        <v>23</v>
      </c>
      <c r="C69">
        <f t="shared" ref="C69:L69" ca="1" si="22">DATEDIF(VLOOKUP(C68,$P$18:$Q$100,2,FALSE),TODAY(),"Y")</f>
        <v>19</v>
      </c>
      <c r="D69">
        <f t="shared" ca="1" si="22"/>
        <v>19</v>
      </c>
      <c r="E69">
        <f t="shared" ca="1" si="22"/>
        <v>19</v>
      </c>
      <c r="F69">
        <f t="shared" ca="1" si="22"/>
        <v>22</v>
      </c>
      <c r="G69">
        <f t="shared" ca="1" si="22"/>
        <v>22</v>
      </c>
      <c r="H69">
        <f t="shared" ca="1" si="22"/>
        <v>17</v>
      </c>
      <c r="I69">
        <f t="shared" ca="1" si="22"/>
        <v>18</v>
      </c>
      <c r="J69">
        <f t="shared" ca="1" si="22"/>
        <v>18</v>
      </c>
      <c r="K69">
        <f t="shared" ca="1" si="22"/>
        <v>20</v>
      </c>
      <c r="L69">
        <f t="shared" ca="1" si="22"/>
        <v>22</v>
      </c>
      <c r="N69" s="1">
        <f ca="1">AVERAGE(B69:M69)</f>
        <v>19.90909090909091</v>
      </c>
    </row>
    <row r="71" spans="1:14" x14ac:dyDescent="0.3">
      <c r="A71" t="s">
        <v>233</v>
      </c>
      <c r="B71" t="s">
        <v>187</v>
      </c>
      <c r="C71" t="s">
        <v>235</v>
      </c>
      <c r="D71" t="s">
        <v>208</v>
      </c>
      <c r="E71" t="s">
        <v>334</v>
      </c>
      <c r="F71" t="s">
        <v>20</v>
      </c>
      <c r="G71" t="s">
        <v>257</v>
      </c>
      <c r="H71" t="s">
        <v>211</v>
      </c>
      <c r="I71" t="s">
        <v>21</v>
      </c>
      <c r="J71" t="s">
        <v>91</v>
      </c>
      <c r="K71" t="s">
        <v>90</v>
      </c>
      <c r="L71" t="s">
        <v>30</v>
      </c>
    </row>
    <row r="72" spans="1:14" x14ac:dyDescent="0.3">
      <c r="B72">
        <f ca="1">DATEDIF(VLOOKUP(B71,$P$18:$Q$100,2,FALSE),TODAY(),"Y")</f>
        <v>20</v>
      </c>
      <c r="C72">
        <f t="shared" ref="C72:L72" ca="1" si="23">DATEDIF(VLOOKUP(C71,$P$18:$Q$100,2,FALSE),TODAY(),"Y")</f>
        <v>20</v>
      </c>
      <c r="D72">
        <f t="shared" ca="1" si="23"/>
        <v>18</v>
      </c>
      <c r="E72">
        <f t="shared" ca="1" si="23"/>
        <v>19</v>
      </c>
      <c r="F72">
        <f t="shared" ca="1" si="23"/>
        <v>19</v>
      </c>
      <c r="G72">
        <f t="shared" ca="1" si="23"/>
        <v>22</v>
      </c>
      <c r="H72">
        <f t="shared" ca="1" si="23"/>
        <v>24</v>
      </c>
      <c r="I72">
        <f t="shared" ca="1" si="23"/>
        <v>20</v>
      </c>
      <c r="J72">
        <f t="shared" ca="1" si="23"/>
        <v>17</v>
      </c>
      <c r="K72">
        <f t="shared" ca="1" si="23"/>
        <v>18</v>
      </c>
      <c r="L72">
        <f t="shared" ca="1" si="23"/>
        <v>22</v>
      </c>
      <c r="N72" s="1">
        <f ca="1">AVERAGE(B72:M72)</f>
        <v>19.90909090909091</v>
      </c>
    </row>
    <row r="74" spans="1:14" x14ac:dyDescent="0.3">
      <c r="A74" t="s">
        <v>240</v>
      </c>
      <c r="B74" t="s">
        <v>303</v>
      </c>
      <c r="C74" t="s">
        <v>235</v>
      </c>
      <c r="D74" t="s">
        <v>88</v>
      </c>
      <c r="E74" t="s">
        <v>13</v>
      </c>
      <c r="F74" t="s">
        <v>20</v>
      </c>
      <c r="G74" t="s">
        <v>89</v>
      </c>
      <c r="H74" t="s">
        <v>304</v>
      </c>
      <c r="I74" t="s">
        <v>21</v>
      </c>
      <c r="J74" t="s">
        <v>91</v>
      </c>
      <c r="K74" t="s">
        <v>324</v>
      </c>
      <c r="L74" t="s">
        <v>30</v>
      </c>
    </row>
    <row r="75" spans="1:14" x14ac:dyDescent="0.3">
      <c r="B75">
        <f ca="1">DATEDIF(VLOOKUP(B74,$P$18:$Q$100,2,FALSE),TODAY(),"Y")</f>
        <v>23</v>
      </c>
      <c r="C75">
        <f t="shared" ref="C75:L75" ca="1" si="24">DATEDIF(VLOOKUP(C74,$P$18:$Q$100,2,FALSE),TODAY(),"Y")</f>
        <v>20</v>
      </c>
      <c r="D75">
        <f t="shared" ca="1" si="24"/>
        <v>19</v>
      </c>
      <c r="E75">
        <f t="shared" ca="1" si="24"/>
        <v>17</v>
      </c>
      <c r="F75">
        <f t="shared" ca="1" si="24"/>
        <v>19</v>
      </c>
      <c r="G75">
        <f t="shared" ca="1" si="24"/>
        <v>19</v>
      </c>
      <c r="H75">
        <f t="shared" ca="1" si="24"/>
        <v>20</v>
      </c>
      <c r="I75">
        <f t="shared" ca="1" si="24"/>
        <v>20</v>
      </c>
      <c r="J75">
        <f t="shared" ca="1" si="24"/>
        <v>17</v>
      </c>
      <c r="K75">
        <f t="shared" ca="1" si="24"/>
        <v>17</v>
      </c>
      <c r="L75">
        <f t="shared" ca="1" si="24"/>
        <v>22</v>
      </c>
      <c r="N75" s="1">
        <f ca="1">AVERAGE(B75:M75)</f>
        <v>19.363636363636363</v>
      </c>
    </row>
  </sheetData>
  <pageMargins left="0.7" right="0.7" top="0.78740157499999996" bottom="0.78740157499999996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C590-5B70-45B7-BCD6-8ED432E7A1AF}">
  <dimension ref="A1:T87"/>
  <sheetViews>
    <sheetView topLeftCell="A17" workbookViewId="0">
      <selection activeCell="P18" sqref="P18:P50"/>
    </sheetView>
  </sheetViews>
  <sheetFormatPr baseColWidth="10" defaultRowHeight="14.4" x14ac:dyDescent="0.3"/>
  <cols>
    <col min="5" max="5" width="11.77734375" bestFit="1" customWidth="1"/>
  </cols>
  <sheetData>
    <row r="1" spans="1:14" x14ac:dyDescent="0.3">
      <c r="N1" s="1">
        <f ca="1">AVERAGE(N2:N99)</f>
        <v>21.169278996865202</v>
      </c>
    </row>
    <row r="2" spans="1:14" x14ac:dyDescent="0.3">
      <c r="A2" t="s">
        <v>60</v>
      </c>
      <c r="B2" t="s">
        <v>93</v>
      </c>
      <c r="C2" t="s">
        <v>26</v>
      </c>
      <c r="D2" t="s">
        <v>38</v>
      </c>
      <c r="E2" t="s">
        <v>94</v>
      </c>
      <c r="F2" t="s">
        <v>23</v>
      </c>
      <c r="G2" t="s">
        <v>32</v>
      </c>
      <c r="H2" t="s">
        <v>79</v>
      </c>
      <c r="I2" t="s">
        <v>22</v>
      </c>
      <c r="J2" t="s">
        <v>24</v>
      </c>
      <c r="K2" t="s">
        <v>31</v>
      </c>
      <c r="L2" t="s">
        <v>25</v>
      </c>
      <c r="N2" s="1"/>
    </row>
    <row r="3" spans="1:14" x14ac:dyDescent="0.3">
      <c r="B3">
        <f t="shared" ref="B3:L3" ca="1" si="0">DATEDIF(VLOOKUP(B2,$P$18:$Q$100,2,FALSE),TODAY(),"Y")</f>
        <v>21</v>
      </c>
      <c r="C3">
        <f t="shared" ca="1" si="0"/>
        <v>20</v>
      </c>
      <c r="D3">
        <f t="shared" ca="1" si="0"/>
        <v>18</v>
      </c>
      <c r="E3">
        <f t="shared" ca="1" si="0"/>
        <v>20</v>
      </c>
      <c r="F3">
        <f t="shared" ca="1" si="0"/>
        <v>19</v>
      </c>
      <c r="G3">
        <f t="shared" ca="1" si="0"/>
        <v>18</v>
      </c>
      <c r="H3">
        <f t="shared" ca="1" si="0"/>
        <v>18</v>
      </c>
      <c r="I3">
        <f t="shared" ca="1" si="0"/>
        <v>20</v>
      </c>
      <c r="J3">
        <f t="shared" ca="1" si="0"/>
        <v>19</v>
      </c>
      <c r="K3">
        <f t="shared" ca="1" si="0"/>
        <v>19</v>
      </c>
      <c r="L3">
        <f t="shared" ca="1" si="0"/>
        <v>37</v>
      </c>
      <c r="N3" s="1">
        <f ca="1">AVERAGE(B3:M3)</f>
        <v>20.818181818181817</v>
      </c>
    </row>
    <row r="4" spans="1:14" x14ac:dyDescent="0.3">
      <c r="N4" s="1"/>
    </row>
    <row r="5" spans="1:14" x14ac:dyDescent="0.3">
      <c r="A5" t="s">
        <v>109</v>
      </c>
      <c r="B5" t="s">
        <v>93</v>
      </c>
      <c r="C5" t="s">
        <v>26</v>
      </c>
      <c r="D5" t="s">
        <v>110</v>
      </c>
      <c r="E5" t="s">
        <v>94</v>
      </c>
      <c r="F5" t="s">
        <v>23</v>
      </c>
      <c r="G5" t="s">
        <v>32</v>
      </c>
      <c r="H5" t="s">
        <v>79</v>
      </c>
      <c r="I5" t="s">
        <v>22</v>
      </c>
      <c r="J5" t="s">
        <v>24</v>
      </c>
      <c r="K5" t="s">
        <v>31</v>
      </c>
      <c r="L5" t="s">
        <v>25</v>
      </c>
      <c r="N5" s="1"/>
    </row>
    <row r="6" spans="1:14" x14ac:dyDescent="0.3">
      <c r="B6">
        <f t="shared" ref="B6:L6" ca="1" si="1">DATEDIF(VLOOKUP(B5,$P$18:$Q$100,2,FALSE),TODAY(),"Y")</f>
        <v>21</v>
      </c>
      <c r="C6">
        <f t="shared" ca="1" si="1"/>
        <v>20</v>
      </c>
      <c r="D6">
        <f t="shared" ca="1" si="1"/>
        <v>19</v>
      </c>
      <c r="E6">
        <f t="shared" ca="1" si="1"/>
        <v>20</v>
      </c>
      <c r="F6">
        <f t="shared" ca="1" si="1"/>
        <v>19</v>
      </c>
      <c r="G6">
        <f t="shared" ca="1" si="1"/>
        <v>18</v>
      </c>
      <c r="H6">
        <f t="shared" ca="1" si="1"/>
        <v>18</v>
      </c>
      <c r="I6">
        <f t="shared" ca="1" si="1"/>
        <v>20</v>
      </c>
      <c r="J6">
        <f t="shared" ca="1" si="1"/>
        <v>19</v>
      </c>
      <c r="K6">
        <f t="shared" ca="1" si="1"/>
        <v>19</v>
      </c>
      <c r="L6">
        <f t="shared" ca="1" si="1"/>
        <v>37</v>
      </c>
      <c r="N6" s="1">
        <f ca="1">AVERAGE(B6:M6)</f>
        <v>20.90909090909091</v>
      </c>
    </row>
    <row r="7" spans="1:14" x14ac:dyDescent="0.3">
      <c r="N7" s="1"/>
    </row>
    <row r="8" spans="1:14" x14ac:dyDescent="0.3">
      <c r="A8" t="s">
        <v>153</v>
      </c>
      <c r="B8" t="s">
        <v>93</v>
      </c>
      <c r="C8" t="s">
        <v>26</v>
      </c>
      <c r="D8" t="s">
        <v>110</v>
      </c>
      <c r="E8" t="s">
        <v>59</v>
      </c>
      <c r="F8" t="s">
        <v>23</v>
      </c>
      <c r="G8" t="s">
        <v>38</v>
      </c>
      <c r="H8" t="s">
        <v>79</v>
      </c>
      <c r="I8" t="s">
        <v>22</v>
      </c>
      <c r="J8" t="s">
        <v>24</v>
      </c>
      <c r="K8" t="s">
        <v>154</v>
      </c>
      <c r="L8" t="s">
        <v>25</v>
      </c>
      <c r="N8" s="1"/>
    </row>
    <row r="9" spans="1:14" x14ac:dyDescent="0.3">
      <c r="B9">
        <f t="shared" ref="B9:L9" ca="1" si="2">DATEDIF(VLOOKUP(B8,$P$18:$Q$100,2,FALSE),TODAY(),"Y")</f>
        <v>21</v>
      </c>
      <c r="C9">
        <f t="shared" ca="1" si="2"/>
        <v>20</v>
      </c>
      <c r="D9">
        <f t="shared" ca="1" si="2"/>
        <v>19</v>
      </c>
      <c r="E9">
        <f t="shared" ca="1" si="2"/>
        <v>20</v>
      </c>
      <c r="F9">
        <f t="shared" ca="1" si="2"/>
        <v>19</v>
      </c>
      <c r="G9">
        <f t="shared" ca="1" si="2"/>
        <v>18</v>
      </c>
      <c r="H9">
        <f t="shared" ca="1" si="2"/>
        <v>18</v>
      </c>
      <c r="I9">
        <f t="shared" ca="1" si="2"/>
        <v>20</v>
      </c>
      <c r="J9">
        <f t="shared" ca="1" si="2"/>
        <v>19</v>
      </c>
      <c r="K9">
        <f t="shared" ca="1" si="2"/>
        <v>21</v>
      </c>
      <c r="L9">
        <f t="shared" ca="1" si="2"/>
        <v>37</v>
      </c>
      <c r="N9" s="1">
        <f ca="1">AVERAGE(B9:M9)</f>
        <v>21.09090909090909</v>
      </c>
    </row>
    <row r="10" spans="1:14" x14ac:dyDescent="0.3">
      <c r="N10" s="1"/>
    </row>
    <row r="11" spans="1:14" x14ac:dyDescent="0.3">
      <c r="A11" t="s">
        <v>49</v>
      </c>
      <c r="B11" t="s">
        <v>93</v>
      </c>
      <c r="C11" t="s">
        <v>26</v>
      </c>
      <c r="D11" t="s">
        <v>110</v>
      </c>
      <c r="E11" t="s">
        <v>59</v>
      </c>
      <c r="F11" t="s">
        <v>23</v>
      </c>
      <c r="G11" t="s">
        <v>38</v>
      </c>
      <c r="H11" t="s">
        <v>31</v>
      </c>
      <c r="I11" t="s">
        <v>22</v>
      </c>
      <c r="J11" t="s">
        <v>24</v>
      </c>
      <c r="K11" t="s">
        <v>154</v>
      </c>
      <c r="L11" t="s">
        <v>25</v>
      </c>
      <c r="N11" s="1"/>
    </row>
    <row r="12" spans="1:14" x14ac:dyDescent="0.3">
      <c r="B12">
        <f t="shared" ref="B12:L12" ca="1" si="3">DATEDIF(VLOOKUP(B11,$P$18:$Q$100,2,FALSE),TODAY(),"Y")</f>
        <v>21</v>
      </c>
      <c r="C12">
        <f t="shared" ca="1" si="3"/>
        <v>20</v>
      </c>
      <c r="D12">
        <f t="shared" ca="1" si="3"/>
        <v>19</v>
      </c>
      <c r="E12">
        <f t="shared" ca="1" si="3"/>
        <v>20</v>
      </c>
      <c r="F12">
        <f t="shared" ca="1" si="3"/>
        <v>19</v>
      </c>
      <c r="G12">
        <f t="shared" ca="1" si="3"/>
        <v>18</v>
      </c>
      <c r="H12">
        <f t="shared" ca="1" si="3"/>
        <v>19</v>
      </c>
      <c r="I12">
        <f t="shared" ca="1" si="3"/>
        <v>20</v>
      </c>
      <c r="J12">
        <f t="shared" ca="1" si="3"/>
        <v>19</v>
      </c>
      <c r="K12">
        <f t="shared" ca="1" si="3"/>
        <v>21</v>
      </c>
      <c r="L12">
        <f t="shared" ca="1" si="3"/>
        <v>37</v>
      </c>
      <c r="N12" s="1">
        <f ca="1">AVERAGE(B12:M12)</f>
        <v>21.181818181818183</v>
      </c>
    </row>
    <row r="14" spans="1:14" x14ac:dyDescent="0.3">
      <c r="A14" t="s">
        <v>177</v>
      </c>
      <c r="B14" t="s">
        <v>93</v>
      </c>
      <c r="C14" t="s">
        <v>26</v>
      </c>
      <c r="D14" t="s">
        <v>110</v>
      </c>
      <c r="E14" t="s">
        <v>59</v>
      </c>
      <c r="F14" t="s">
        <v>23</v>
      </c>
      <c r="G14" t="s">
        <v>178</v>
      </c>
      <c r="H14" t="s">
        <v>31</v>
      </c>
      <c r="I14" t="s">
        <v>22</v>
      </c>
      <c r="J14" t="s">
        <v>24</v>
      </c>
      <c r="K14" t="s">
        <v>179</v>
      </c>
      <c r="L14" t="s">
        <v>25</v>
      </c>
      <c r="N14" s="1"/>
    </row>
    <row r="15" spans="1:14" x14ac:dyDescent="0.3">
      <c r="B15">
        <f t="shared" ref="B15:L15" ca="1" si="4">DATEDIF(VLOOKUP(B14,$P$18:$Q$100,2,FALSE),TODAY(),"Y")</f>
        <v>21</v>
      </c>
      <c r="C15">
        <f t="shared" ca="1" si="4"/>
        <v>20</v>
      </c>
      <c r="D15">
        <f t="shared" ca="1" si="4"/>
        <v>19</v>
      </c>
      <c r="E15">
        <f t="shared" ca="1" si="4"/>
        <v>20</v>
      </c>
      <c r="F15">
        <f t="shared" ca="1" si="4"/>
        <v>19</v>
      </c>
      <c r="G15">
        <f t="shared" ca="1" si="4"/>
        <v>21</v>
      </c>
      <c r="H15">
        <f t="shared" ca="1" si="4"/>
        <v>19</v>
      </c>
      <c r="I15">
        <f t="shared" ca="1" si="4"/>
        <v>20</v>
      </c>
      <c r="J15">
        <f t="shared" ca="1" si="4"/>
        <v>19</v>
      </c>
      <c r="K15">
        <f t="shared" ca="1" si="4"/>
        <v>20</v>
      </c>
      <c r="L15">
        <f t="shared" ca="1" si="4"/>
        <v>37</v>
      </c>
      <c r="N15" s="1">
        <f ca="1">AVERAGE(B15:M15)</f>
        <v>21.363636363636363</v>
      </c>
    </row>
    <row r="17" spans="1:20" x14ac:dyDescent="0.3">
      <c r="A17" t="s">
        <v>169</v>
      </c>
      <c r="B17" t="s">
        <v>93</v>
      </c>
      <c r="C17" t="s">
        <v>26</v>
      </c>
      <c r="D17" t="s">
        <v>110</v>
      </c>
      <c r="E17" t="s">
        <v>59</v>
      </c>
      <c r="F17" t="s">
        <v>23</v>
      </c>
      <c r="G17" t="s">
        <v>178</v>
      </c>
      <c r="H17" t="s">
        <v>79</v>
      </c>
      <c r="I17" t="s">
        <v>22</v>
      </c>
      <c r="J17" t="s">
        <v>24</v>
      </c>
      <c r="K17" t="s">
        <v>179</v>
      </c>
      <c r="L17" t="s">
        <v>25</v>
      </c>
      <c r="N17" s="1"/>
    </row>
    <row r="18" spans="1:20" x14ac:dyDescent="0.3">
      <c r="B18">
        <f t="shared" ref="B18:L18" ca="1" si="5">DATEDIF(VLOOKUP(B17,$P$18:$Q$100,2,FALSE),TODAY(),"Y")</f>
        <v>21</v>
      </c>
      <c r="C18">
        <f t="shared" ca="1" si="5"/>
        <v>20</v>
      </c>
      <c r="D18">
        <f t="shared" ca="1" si="5"/>
        <v>19</v>
      </c>
      <c r="E18">
        <f t="shared" ca="1" si="5"/>
        <v>20</v>
      </c>
      <c r="F18">
        <f t="shared" ca="1" si="5"/>
        <v>19</v>
      </c>
      <c r="G18">
        <f t="shared" ca="1" si="5"/>
        <v>21</v>
      </c>
      <c r="H18">
        <f t="shared" ca="1" si="5"/>
        <v>18</v>
      </c>
      <c r="I18">
        <f t="shared" ca="1" si="5"/>
        <v>20</v>
      </c>
      <c r="J18">
        <f t="shared" ca="1" si="5"/>
        <v>19</v>
      </c>
      <c r="K18">
        <f t="shared" ca="1" si="5"/>
        <v>20</v>
      </c>
      <c r="L18">
        <f t="shared" ca="1" si="5"/>
        <v>37</v>
      </c>
      <c r="N18" s="1">
        <f ca="1">AVERAGE(B18:M18)</f>
        <v>21.272727272727273</v>
      </c>
      <c r="P18" t="s">
        <v>93</v>
      </c>
      <c r="Q18" s="6">
        <v>38482</v>
      </c>
      <c r="T18">
        <v>33</v>
      </c>
    </row>
    <row r="19" spans="1:20" x14ac:dyDescent="0.3">
      <c r="P19" t="s">
        <v>26</v>
      </c>
      <c r="Q19" s="6">
        <v>38627</v>
      </c>
    </row>
    <row r="20" spans="1:20" x14ac:dyDescent="0.3">
      <c r="A20" t="s">
        <v>50</v>
      </c>
      <c r="B20" t="s">
        <v>93</v>
      </c>
      <c r="C20" t="s">
        <v>154</v>
      </c>
      <c r="D20" t="s">
        <v>110</v>
      </c>
      <c r="E20" t="s">
        <v>59</v>
      </c>
      <c r="F20" t="s">
        <v>23</v>
      </c>
      <c r="G20" t="s">
        <v>219</v>
      </c>
      <c r="H20" t="s">
        <v>79</v>
      </c>
      <c r="I20" t="s">
        <v>38</v>
      </c>
      <c r="J20" t="s">
        <v>24</v>
      </c>
      <c r="K20" t="s">
        <v>31</v>
      </c>
      <c r="L20" t="s">
        <v>25</v>
      </c>
      <c r="N20" s="1"/>
      <c r="P20" t="s">
        <v>94</v>
      </c>
      <c r="Q20" s="6">
        <v>38620</v>
      </c>
    </row>
    <row r="21" spans="1:20" x14ac:dyDescent="0.3">
      <c r="B21">
        <f t="shared" ref="B21:L21" ca="1" si="6">DATEDIF(VLOOKUP(B20,$P$18:$Q$100,2,FALSE),TODAY(),"Y")</f>
        <v>21</v>
      </c>
      <c r="C21">
        <f t="shared" ca="1" si="6"/>
        <v>21</v>
      </c>
      <c r="D21">
        <f t="shared" ca="1" si="6"/>
        <v>19</v>
      </c>
      <c r="E21">
        <f t="shared" ca="1" si="6"/>
        <v>20</v>
      </c>
      <c r="F21">
        <f t="shared" ca="1" si="6"/>
        <v>19</v>
      </c>
      <c r="G21">
        <f t="shared" ca="1" si="6"/>
        <v>24</v>
      </c>
      <c r="H21">
        <f t="shared" ca="1" si="6"/>
        <v>18</v>
      </c>
      <c r="I21">
        <f t="shared" ca="1" si="6"/>
        <v>18</v>
      </c>
      <c r="J21">
        <f t="shared" ca="1" si="6"/>
        <v>19</v>
      </c>
      <c r="K21">
        <f t="shared" ca="1" si="6"/>
        <v>19</v>
      </c>
      <c r="L21">
        <f t="shared" ca="1" si="6"/>
        <v>37</v>
      </c>
      <c r="N21" s="1">
        <f ca="1">AVERAGE(B21:M21)</f>
        <v>21.363636363636363</v>
      </c>
      <c r="P21" t="s">
        <v>38</v>
      </c>
      <c r="Q21" s="6">
        <v>39510</v>
      </c>
    </row>
    <row r="22" spans="1:20" x14ac:dyDescent="0.3">
      <c r="P22" t="s">
        <v>26</v>
      </c>
      <c r="Q22" s="6">
        <v>38627</v>
      </c>
    </row>
    <row r="23" spans="1:20" x14ac:dyDescent="0.3">
      <c r="A23" t="s">
        <v>46</v>
      </c>
      <c r="B23" t="s">
        <v>93</v>
      </c>
      <c r="C23" t="s">
        <v>154</v>
      </c>
      <c r="D23" t="s">
        <v>110</v>
      </c>
      <c r="E23" t="s">
        <v>59</v>
      </c>
      <c r="F23" t="s">
        <v>23</v>
      </c>
      <c r="G23" t="s">
        <v>26</v>
      </c>
      <c r="H23" t="s">
        <v>79</v>
      </c>
      <c r="I23" t="s">
        <v>38</v>
      </c>
      <c r="J23" t="s">
        <v>24</v>
      </c>
      <c r="K23" t="s">
        <v>227</v>
      </c>
      <c r="L23" t="s">
        <v>25</v>
      </c>
      <c r="N23" s="1"/>
      <c r="P23" t="s">
        <v>79</v>
      </c>
      <c r="Q23" s="6">
        <v>39422</v>
      </c>
    </row>
    <row r="24" spans="1:20" x14ac:dyDescent="0.3">
      <c r="B24">
        <f t="shared" ref="B24:L24" ca="1" si="7">DATEDIF(VLOOKUP(B23,$P$18:$Q$100,2,FALSE),TODAY(),"Y")</f>
        <v>21</v>
      </c>
      <c r="C24">
        <f t="shared" ca="1" si="7"/>
        <v>21</v>
      </c>
      <c r="D24">
        <f t="shared" ca="1" si="7"/>
        <v>19</v>
      </c>
      <c r="E24">
        <f t="shared" ca="1" si="7"/>
        <v>20</v>
      </c>
      <c r="F24">
        <f t="shared" ca="1" si="7"/>
        <v>19</v>
      </c>
      <c r="G24">
        <f t="shared" ca="1" si="7"/>
        <v>20</v>
      </c>
      <c r="H24">
        <f t="shared" ca="1" si="7"/>
        <v>18</v>
      </c>
      <c r="I24">
        <f t="shared" ca="1" si="7"/>
        <v>18</v>
      </c>
      <c r="J24">
        <f t="shared" ca="1" si="7"/>
        <v>19</v>
      </c>
      <c r="K24">
        <f t="shared" ca="1" si="7"/>
        <v>18</v>
      </c>
      <c r="L24">
        <f t="shared" ca="1" si="7"/>
        <v>37</v>
      </c>
      <c r="N24" s="1">
        <f ca="1">AVERAGE(B24:M24)</f>
        <v>20.90909090909091</v>
      </c>
      <c r="P24" t="s">
        <v>32</v>
      </c>
      <c r="Q24" s="6">
        <v>39430</v>
      </c>
    </row>
    <row r="25" spans="1:20" x14ac:dyDescent="0.3">
      <c r="P25" t="s">
        <v>23</v>
      </c>
      <c r="Q25" s="6">
        <v>38906</v>
      </c>
    </row>
    <row r="26" spans="1:20" x14ac:dyDescent="0.3">
      <c r="A26" t="s">
        <v>55</v>
      </c>
      <c r="B26" t="s">
        <v>93</v>
      </c>
      <c r="C26" t="s">
        <v>230</v>
      </c>
      <c r="D26" t="s">
        <v>110</v>
      </c>
      <c r="E26" t="s">
        <v>59</v>
      </c>
      <c r="F26" t="s">
        <v>179</v>
      </c>
      <c r="G26" t="s">
        <v>26</v>
      </c>
      <c r="H26" t="s">
        <v>79</v>
      </c>
      <c r="I26" t="s">
        <v>38</v>
      </c>
      <c r="J26" t="s">
        <v>24</v>
      </c>
      <c r="K26" t="s">
        <v>219</v>
      </c>
      <c r="L26" t="s">
        <v>22</v>
      </c>
      <c r="N26" s="1"/>
      <c r="P26" t="s">
        <v>24</v>
      </c>
      <c r="Q26" s="6">
        <v>39143</v>
      </c>
    </row>
    <row r="27" spans="1:20" x14ac:dyDescent="0.3">
      <c r="B27">
        <f t="shared" ref="B27:L27" ca="1" si="8">DATEDIF(VLOOKUP(B26,$P$18:$Q$100,2,FALSE),TODAY(),"Y")</f>
        <v>21</v>
      </c>
      <c r="C27">
        <f t="shared" ca="1" si="8"/>
        <v>20</v>
      </c>
      <c r="D27">
        <f t="shared" ca="1" si="8"/>
        <v>19</v>
      </c>
      <c r="E27">
        <f t="shared" ca="1" si="8"/>
        <v>20</v>
      </c>
      <c r="F27">
        <f t="shared" ca="1" si="8"/>
        <v>20</v>
      </c>
      <c r="G27">
        <f t="shared" ca="1" si="8"/>
        <v>20</v>
      </c>
      <c r="H27">
        <f t="shared" ca="1" si="8"/>
        <v>18</v>
      </c>
      <c r="I27">
        <f t="shared" ca="1" si="8"/>
        <v>18</v>
      </c>
      <c r="J27">
        <f t="shared" ca="1" si="8"/>
        <v>19</v>
      </c>
      <c r="K27">
        <f t="shared" ca="1" si="8"/>
        <v>24</v>
      </c>
      <c r="L27">
        <f t="shared" ca="1" si="8"/>
        <v>20</v>
      </c>
      <c r="N27" s="1">
        <f ca="1">AVERAGE(B27:M27)</f>
        <v>19.90909090909091</v>
      </c>
      <c r="P27" t="s">
        <v>22</v>
      </c>
      <c r="Q27" s="6">
        <v>38728</v>
      </c>
    </row>
    <row r="28" spans="1:20" x14ac:dyDescent="0.3">
      <c r="P28" t="s">
        <v>25</v>
      </c>
      <c r="Q28" s="6">
        <v>32643</v>
      </c>
    </row>
    <row r="29" spans="1:20" x14ac:dyDescent="0.3">
      <c r="A29" t="s">
        <v>223</v>
      </c>
      <c r="B29" t="s">
        <v>93</v>
      </c>
      <c r="C29" t="s">
        <v>230</v>
      </c>
      <c r="D29" t="s">
        <v>178</v>
      </c>
      <c r="E29" t="s">
        <v>23</v>
      </c>
      <c r="F29" t="s">
        <v>31</v>
      </c>
      <c r="G29" t="s">
        <v>26</v>
      </c>
      <c r="H29" t="s">
        <v>79</v>
      </c>
      <c r="I29" t="s">
        <v>38</v>
      </c>
      <c r="J29" t="s">
        <v>24</v>
      </c>
      <c r="K29" t="s">
        <v>241</v>
      </c>
      <c r="L29" t="s">
        <v>154</v>
      </c>
      <c r="N29" s="1"/>
      <c r="P29" t="s">
        <v>31</v>
      </c>
      <c r="Q29" s="6">
        <v>39197</v>
      </c>
    </row>
    <row r="30" spans="1:20" x14ac:dyDescent="0.3">
      <c r="B30">
        <f ca="1">DATEDIF(VLOOKUP(B29,$P$18:$Q$100,2,FALSE),TODAY(),"Y")</f>
        <v>21</v>
      </c>
      <c r="C30">
        <f t="shared" ref="C30:L30" ca="1" si="9">DATEDIF(VLOOKUP(C29,$P$18:$Q$100,2,FALSE),TODAY(),"Y")</f>
        <v>20</v>
      </c>
      <c r="D30">
        <f t="shared" ca="1" si="9"/>
        <v>21</v>
      </c>
      <c r="E30">
        <f t="shared" ca="1" si="9"/>
        <v>19</v>
      </c>
      <c r="F30">
        <f t="shared" ca="1" si="9"/>
        <v>19</v>
      </c>
      <c r="G30">
        <f t="shared" ca="1" si="9"/>
        <v>20</v>
      </c>
      <c r="H30">
        <f t="shared" ca="1" si="9"/>
        <v>18</v>
      </c>
      <c r="I30">
        <f t="shared" ca="1" si="9"/>
        <v>18</v>
      </c>
      <c r="J30">
        <f t="shared" ca="1" si="9"/>
        <v>19</v>
      </c>
      <c r="K30">
        <f t="shared" ca="1" si="9"/>
        <v>20</v>
      </c>
      <c r="L30">
        <f t="shared" ca="1" si="9"/>
        <v>21</v>
      </c>
      <c r="N30" s="1">
        <f ca="1">AVERAGE(B30:M30)</f>
        <v>19.636363636363637</v>
      </c>
      <c r="P30" t="s">
        <v>110</v>
      </c>
      <c r="Q30" s="6">
        <v>39031</v>
      </c>
    </row>
    <row r="31" spans="1:20" x14ac:dyDescent="0.3">
      <c r="P31" t="s">
        <v>59</v>
      </c>
      <c r="Q31" s="6">
        <v>38851</v>
      </c>
    </row>
    <row r="32" spans="1:20" x14ac:dyDescent="0.3">
      <c r="A32" t="s">
        <v>203</v>
      </c>
      <c r="B32" t="s">
        <v>93</v>
      </c>
      <c r="C32" t="s">
        <v>230</v>
      </c>
      <c r="D32" t="s">
        <v>178</v>
      </c>
      <c r="E32" t="s">
        <v>247</v>
      </c>
      <c r="F32" t="s">
        <v>110</v>
      </c>
      <c r="G32" t="s">
        <v>32</v>
      </c>
      <c r="H32" t="s">
        <v>179</v>
      </c>
      <c r="I32" t="s">
        <v>248</v>
      </c>
      <c r="J32" t="s">
        <v>25</v>
      </c>
      <c r="K32" t="s">
        <v>241</v>
      </c>
      <c r="L32" t="s">
        <v>154</v>
      </c>
      <c r="N32" s="1"/>
      <c r="P32" t="s">
        <v>154</v>
      </c>
      <c r="Q32" s="6">
        <v>38425</v>
      </c>
    </row>
    <row r="33" spans="1:17" x14ac:dyDescent="0.3">
      <c r="B33">
        <f t="shared" ref="B33:L33" ca="1" si="10">DATEDIF(VLOOKUP(B32,$P$18:$Q$100,2,FALSE),TODAY(),"Y")</f>
        <v>21</v>
      </c>
      <c r="C33">
        <f t="shared" ca="1" si="10"/>
        <v>20</v>
      </c>
      <c r="D33">
        <f t="shared" ca="1" si="10"/>
        <v>21</v>
      </c>
      <c r="E33">
        <f t="shared" ca="1" si="10"/>
        <v>21</v>
      </c>
      <c r="F33">
        <f t="shared" ca="1" si="10"/>
        <v>19</v>
      </c>
      <c r="G33">
        <f t="shared" ca="1" si="10"/>
        <v>18</v>
      </c>
      <c r="H33">
        <f t="shared" ca="1" si="10"/>
        <v>20</v>
      </c>
      <c r="I33">
        <f t="shared" ca="1" si="10"/>
        <v>18</v>
      </c>
      <c r="J33">
        <f t="shared" ca="1" si="10"/>
        <v>37</v>
      </c>
      <c r="K33">
        <f t="shared" ca="1" si="10"/>
        <v>20</v>
      </c>
      <c r="L33">
        <f t="shared" ca="1" si="10"/>
        <v>21</v>
      </c>
      <c r="N33" s="1">
        <f ca="1">AVERAGE(B33:M33)</f>
        <v>21.454545454545453</v>
      </c>
      <c r="P33" t="s">
        <v>178</v>
      </c>
      <c r="Q33" s="6">
        <v>38324</v>
      </c>
    </row>
    <row r="34" spans="1:17" x14ac:dyDescent="0.3">
      <c r="P34" t="s">
        <v>179</v>
      </c>
      <c r="Q34" s="6">
        <v>38653</v>
      </c>
    </row>
    <row r="35" spans="1:17" x14ac:dyDescent="0.3">
      <c r="A35" t="s">
        <v>51</v>
      </c>
      <c r="B35" t="s">
        <v>93</v>
      </c>
      <c r="C35" t="s">
        <v>230</v>
      </c>
      <c r="D35" t="s">
        <v>59</v>
      </c>
      <c r="E35" t="s">
        <v>247</v>
      </c>
      <c r="F35" t="s">
        <v>110</v>
      </c>
      <c r="G35" t="s">
        <v>24</v>
      </c>
      <c r="H35" t="s">
        <v>26</v>
      </c>
      <c r="I35" t="s">
        <v>248</v>
      </c>
      <c r="J35" t="s">
        <v>25</v>
      </c>
      <c r="K35" t="s">
        <v>241</v>
      </c>
      <c r="L35" t="s">
        <v>154</v>
      </c>
      <c r="N35" s="1"/>
      <c r="P35" t="s">
        <v>219</v>
      </c>
      <c r="Q35" s="6">
        <v>37284</v>
      </c>
    </row>
    <row r="36" spans="1:17" x14ac:dyDescent="0.3">
      <c r="B36">
        <f t="shared" ref="B36:L36" ca="1" si="11">DATEDIF(VLOOKUP(B35,$P$18:$Q$100,2,FALSE),TODAY(),"Y")</f>
        <v>21</v>
      </c>
      <c r="C36">
        <f t="shared" ca="1" si="11"/>
        <v>20</v>
      </c>
      <c r="D36">
        <f t="shared" ca="1" si="11"/>
        <v>20</v>
      </c>
      <c r="E36">
        <f t="shared" ca="1" si="11"/>
        <v>21</v>
      </c>
      <c r="F36">
        <f t="shared" ca="1" si="11"/>
        <v>19</v>
      </c>
      <c r="G36">
        <f t="shared" ca="1" si="11"/>
        <v>19</v>
      </c>
      <c r="H36">
        <f t="shared" ca="1" si="11"/>
        <v>20</v>
      </c>
      <c r="I36">
        <f t="shared" ca="1" si="11"/>
        <v>18</v>
      </c>
      <c r="J36">
        <f t="shared" ca="1" si="11"/>
        <v>37</v>
      </c>
      <c r="K36">
        <f t="shared" ca="1" si="11"/>
        <v>20</v>
      </c>
      <c r="L36">
        <f t="shared" ca="1" si="11"/>
        <v>21</v>
      </c>
      <c r="N36" s="1">
        <f ca="1">AVERAGE(B36:M36)</f>
        <v>21.454545454545453</v>
      </c>
      <c r="P36" t="s">
        <v>227</v>
      </c>
      <c r="Q36" s="6">
        <v>39501</v>
      </c>
    </row>
    <row r="37" spans="1:17" x14ac:dyDescent="0.3">
      <c r="P37" t="s">
        <v>230</v>
      </c>
      <c r="Q37" s="6">
        <v>38783</v>
      </c>
    </row>
    <row r="38" spans="1:17" x14ac:dyDescent="0.3">
      <c r="A38" t="s">
        <v>181</v>
      </c>
      <c r="B38" t="s">
        <v>93</v>
      </c>
      <c r="C38" t="s">
        <v>178</v>
      </c>
      <c r="D38" t="s">
        <v>59</v>
      </c>
      <c r="E38" t="s">
        <v>247</v>
      </c>
      <c r="F38" t="s">
        <v>110</v>
      </c>
      <c r="G38" t="s">
        <v>24</v>
      </c>
      <c r="H38" t="s">
        <v>32</v>
      </c>
      <c r="I38" t="s">
        <v>263</v>
      </c>
      <c r="J38" t="s">
        <v>25</v>
      </c>
      <c r="K38" t="s">
        <v>23</v>
      </c>
      <c r="L38" t="s">
        <v>154</v>
      </c>
      <c r="N38" s="1"/>
      <c r="P38" t="s">
        <v>241</v>
      </c>
      <c r="Q38" s="6">
        <v>38520</v>
      </c>
    </row>
    <row r="39" spans="1:17" x14ac:dyDescent="0.3">
      <c r="B39">
        <f t="shared" ref="B39:L39" ca="1" si="12">DATEDIF(VLOOKUP(B38,$P$18:$Q$100,2,FALSE),TODAY(),"Y")</f>
        <v>21</v>
      </c>
      <c r="C39">
        <f t="shared" ca="1" si="12"/>
        <v>21</v>
      </c>
      <c r="D39">
        <f t="shared" ca="1" si="12"/>
        <v>20</v>
      </c>
      <c r="E39">
        <f t="shared" ca="1" si="12"/>
        <v>21</v>
      </c>
      <c r="F39">
        <f t="shared" ca="1" si="12"/>
        <v>19</v>
      </c>
      <c r="G39">
        <f t="shared" ca="1" si="12"/>
        <v>19</v>
      </c>
      <c r="H39">
        <f t="shared" ca="1" si="12"/>
        <v>18</v>
      </c>
      <c r="I39">
        <f t="shared" ca="1" si="12"/>
        <v>21</v>
      </c>
      <c r="J39">
        <f t="shared" ca="1" si="12"/>
        <v>37</v>
      </c>
      <c r="K39">
        <f t="shared" ca="1" si="12"/>
        <v>19</v>
      </c>
      <c r="L39">
        <f t="shared" ca="1" si="12"/>
        <v>21</v>
      </c>
      <c r="N39" s="1">
        <f ca="1">AVERAGE(B39:M39)</f>
        <v>21.545454545454547</v>
      </c>
      <c r="P39" t="s">
        <v>247</v>
      </c>
      <c r="Q39" s="6">
        <v>38493</v>
      </c>
    </row>
    <row r="40" spans="1:17" x14ac:dyDescent="0.3">
      <c r="P40" t="s">
        <v>248</v>
      </c>
      <c r="Q40" s="6">
        <v>39427</v>
      </c>
    </row>
    <row r="41" spans="1:17" x14ac:dyDescent="0.3">
      <c r="A41" t="s">
        <v>53</v>
      </c>
      <c r="B41" t="s">
        <v>93</v>
      </c>
      <c r="C41" t="s">
        <v>270</v>
      </c>
      <c r="D41" t="s">
        <v>59</v>
      </c>
      <c r="E41" t="s">
        <v>247</v>
      </c>
      <c r="F41" t="s">
        <v>110</v>
      </c>
      <c r="G41" t="s">
        <v>24</v>
      </c>
      <c r="H41" t="s">
        <v>271</v>
      </c>
      <c r="I41" t="s">
        <v>26</v>
      </c>
      <c r="J41" t="s">
        <v>25</v>
      </c>
      <c r="K41" t="s">
        <v>241</v>
      </c>
      <c r="L41" t="s">
        <v>22</v>
      </c>
      <c r="N41" s="1"/>
      <c r="P41" t="s">
        <v>263</v>
      </c>
      <c r="Q41" s="6">
        <v>38387</v>
      </c>
    </row>
    <row r="42" spans="1:17" x14ac:dyDescent="0.3">
      <c r="B42">
        <f t="shared" ref="B42:L42" ca="1" si="13">DATEDIF(VLOOKUP(B41,$P$18:$Q$100,2,FALSE),TODAY(),"Y")</f>
        <v>21</v>
      </c>
      <c r="C42">
        <f t="shared" ca="1" si="13"/>
        <v>21</v>
      </c>
      <c r="D42">
        <f t="shared" ca="1" si="13"/>
        <v>20</v>
      </c>
      <c r="E42">
        <f t="shared" ca="1" si="13"/>
        <v>21</v>
      </c>
      <c r="F42">
        <f t="shared" ca="1" si="13"/>
        <v>19</v>
      </c>
      <c r="G42">
        <f t="shared" ca="1" si="13"/>
        <v>19</v>
      </c>
      <c r="H42">
        <f t="shared" ca="1" si="13"/>
        <v>20</v>
      </c>
      <c r="I42">
        <f t="shared" ca="1" si="13"/>
        <v>20</v>
      </c>
      <c r="J42">
        <f t="shared" ca="1" si="13"/>
        <v>37</v>
      </c>
      <c r="K42">
        <f t="shared" ca="1" si="13"/>
        <v>20</v>
      </c>
      <c r="L42">
        <f t="shared" ca="1" si="13"/>
        <v>20</v>
      </c>
      <c r="N42" s="1">
        <f ca="1">AVERAGE(B42:M42)</f>
        <v>21.636363636363637</v>
      </c>
      <c r="P42" t="s">
        <v>271</v>
      </c>
      <c r="Q42" s="6">
        <v>38599</v>
      </c>
    </row>
    <row r="43" spans="1:17" x14ac:dyDescent="0.3">
      <c r="P43" t="s">
        <v>270</v>
      </c>
      <c r="Q43" s="6">
        <v>38364</v>
      </c>
    </row>
    <row r="44" spans="1:17" x14ac:dyDescent="0.3">
      <c r="A44" t="s">
        <v>231</v>
      </c>
      <c r="B44" t="s">
        <v>93</v>
      </c>
      <c r="C44" t="s">
        <v>270</v>
      </c>
      <c r="D44" t="s">
        <v>23</v>
      </c>
      <c r="E44" t="s">
        <v>247</v>
      </c>
      <c r="F44" t="s">
        <v>110</v>
      </c>
      <c r="G44" t="s">
        <v>24</v>
      </c>
      <c r="H44" t="s">
        <v>271</v>
      </c>
      <c r="I44" t="s">
        <v>26</v>
      </c>
      <c r="J44" t="s">
        <v>25</v>
      </c>
      <c r="K44" t="s">
        <v>241</v>
      </c>
      <c r="L44" t="s">
        <v>22</v>
      </c>
      <c r="N44" s="1"/>
      <c r="P44" t="s">
        <v>276</v>
      </c>
      <c r="Q44" s="6">
        <v>39580</v>
      </c>
    </row>
    <row r="45" spans="1:17" x14ac:dyDescent="0.3">
      <c r="B45">
        <f t="shared" ref="B45:L45" ca="1" si="14">DATEDIF(VLOOKUP(B44,$P$18:$Q$100,2,FALSE),TODAY(),"Y")</f>
        <v>21</v>
      </c>
      <c r="C45">
        <f t="shared" ca="1" si="14"/>
        <v>21</v>
      </c>
      <c r="D45">
        <f t="shared" ca="1" si="14"/>
        <v>19</v>
      </c>
      <c r="E45">
        <f t="shared" ca="1" si="14"/>
        <v>21</v>
      </c>
      <c r="F45">
        <f t="shared" ca="1" si="14"/>
        <v>19</v>
      </c>
      <c r="G45">
        <f t="shared" ca="1" si="14"/>
        <v>19</v>
      </c>
      <c r="H45">
        <f t="shared" ca="1" si="14"/>
        <v>20</v>
      </c>
      <c r="I45">
        <f t="shared" ca="1" si="14"/>
        <v>20</v>
      </c>
      <c r="J45">
        <f t="shared" ca="1" si="14"/>
        <v>37</v>
      </c>
      <c r="K45">
        <f t="shared" ca="1" si="14"/>
        <v>20</v>
      </c>
      <c r="L45">
        <f t="shared" ca="1" si="14"/>
        <v>20</v>
      </c>
      <c r="N45" s="1">
        <f ca="1">AVERAGE(B45:M45)</f>
        <v>21.545454545454547</v>
      </c>
      <c r="P45" t="s">
        <v>189</v>
      </c>
      <c r="Q45" s="6">
        <v>38999</v>
      </c>
    </row>
    <row r="46" spans="1:17" x14ac:dyDescent="0.3">
      <c r="P46" t="s">
        <v>287</v>
      </c>
      <c r="Q46" s="6">
        <v>35610</v>
      </c>
    </row>
    <row r="47" spans="1:17" x14ac:dyDescent="0.3">
      <c r="A47" t="s">
        <v>60</v>
      </c>
      <c r="B47" t="s">
        <v>93</v>
      </c>
      <c r="C47" t="s">
        <v>270</v>
      </c>
      <c r="D47" t="s">
        <v>23</v>
      </c>
      <c r="E47" t="s">
        <v>247</v>
      </c>
      <c r="F47" t="s">
        <v>110</v>
      </c>
      <c r="G47" t="s">
        <v>263</v>
      </c>
      <c r="H47" t="s">
        <v>271</v>
      </c>
      <c r="I47" t="s">
        <v>26</v>
      </c>
      <c r="J47" t="s">
        <v>25</v>
      </c>
      <c r="K47" t="s">
        <v>241</v>
      </c>
      <c r="L47" t="s">
        <v>79</v>
      </c>
      <c r="N47" s="1"/>
      <c r="P47" t="s">
        <v>302</v>
      </c>
      <c r="Q47" s="6">
        <v>37823</v>
      </c>
    </row>
    <row r="48" spans="1:17" x14ac:dyDescent="0.3">
      <c r="B48">
        <f t="shared" ref="B48:L48" ca="1" si="15">DATEDIF(VLOOKUP(B47,$P$18:$Q$100,2,FALSE),TODAY(),"Y")</f>
        <v>21</v>
      </c>
      <c r="C48">
        <f t="shared" ca="1" si="15"/>
        <v>21</v>
      </c>
      <c r="D48">
        <f t="shared" ca="1" si="15"/>
        <v>19</v>
      </c>
      <c r="E48">
        <f t="shared" ca="1" si="15"/>
        <v>21</v>
      </c>
      <c r="F48">
        <f t="shared" ca="1" si="15"/>
        <v>19</v>
      </c>
      <c r="G48">
        <f t="shared" ca="1" si="15"/>
        <v>21</v>
      </c>
      <c r="H48">
        <f t="shared" ca="1" si="15"/>
        <v>20</v>
      </c>
      <c r="I48">
        <f t="shared" ca="1" si="15"/>
        <v>20</v>
      </c>
      <c r="J48">
        <f t="shared" ca="1" si="15"/>
        <v>37</v>
      </c>
      <c r="K48">
        <f t="shared" ca="1" si="15"/>
        <v>20</v>
      </c>
      <c r="L48">
        <f t="shared" ca="1" si="15"/>
        <v>18</v>
      </c>
      <c r="N48" s="1">
        <f ca="1">AVERAGE(B48:M48)</f>
        <v>21.545454545454547</v>
      </c>
      <c r="P48" t="s">
        <v>317</v>
      </c>
      <c r="Q48" s="6">
        <v>39100</v>
      </c>
    </row>
    <row r="49" spans="1:17" x14ac:dyDescent="0.3">
      <c r="P49" t="s">
        <v>319</v>
      </c>
      <c r="Q49" s="6">
        <v>38841</v>
      </c>
    </row>
    <row r="50" spans="1:17" x14ac:dyDescent="0.3">
      <c r="A50" t="s">
        <v>109</v>
      </c>
      <c r="B50" t="s">
        <v>93</v>
      </c>
      <c r="C50" t="s">
        <v>227</v>
      </c>
      <c r="D50" t="s">
        <v>23</v>
      </c>
      <c r="E50" t="s">
        <v>247</v>
      </c>
      <c r="F50" t="s">
        <v>110</v>
      </c>
      <c r="G50" t="s">
        <v>263</v>
      </c>
      <c r="H50" t="s">
        <v>271</v>
      </c>
      <c r="I50" t="s">
        <v>26</v>
      </c>
      <c r="J50" t="s">
        <v>25</v>
      </c>
      <c r="K50" t="s">
        <v>276</v>
      </c>
      <c r="L50" t="s">
        <v>248</v>
      </c>
      <c r="N50" s="1"/>
      <c r="P50" t="s">
        <v>318</v>
      </c>
      <c r="Q50" s="6">
        <v>39034</v>
      </c>
    </row>
    <row r="51" spans="1:17" x14ac:dyDescent="0.3">
      <c r="B51">
        <f t="shared" ref="B51:L51" ca="1" si="16">DATEDIF(VLOOKUP(B50,$P$18:$Q$100,2,FALSE),TODAY(),"Y")</f>
        <v>21</v>
      </c>
      <c r="C51">
        <f t="shared" ca="1" si="16"/>
        <v>18</v>
      </c>
      <c r="D51">
        <f t="shared" ca="1" si="16"/>
        <v>19</v>
      </c>
      <c r="E51">
        <f t="shared" ca="1" si="16"/>
        <v>21</v>
      </c>
      <c r="F51">
        <f t="shared" ca="1" si="16"/>
        <v>19</v>
      </c>
      <c r="G51">
        <f t="shared" ca="1" si="16"/>
        <v>21</v>
      </c>
      <c r="H51">
        <f t="shared" ca="1" si="16"/>
        <v>20</v>
      </c>
      <c r="I51">
        <f t="shared" ca="1" si="16"/>
        <v>20</v>
      </c>
      <c r="J51">
        <f t="shared" ca="1" si="16"/>
        <v>37</v>
      </c>
      <c r="K51">
        <f t="shared" ca="1" si="16"/>
        <v>18</v>
      </c>
      <c r="L51">
        <f t="shared" ca="1" si="16"/>
        <v>18</v>
      </c>
      <c r="N51" s="1">
        <f ca="1">AVERAGE(B51:M51)</f>
        <v>21.09090909090909</v>
      </c>
    </row>
    <row r="53" spans="1:17" x14ac:dyDescent="0.3">
      <c r="A53" t="s">
        <v>153</v>
      </c>
      <c r="B53" t="s">
        <v>93</v>
      </c>
      <c r="C53" t="s">
        <v>31</v>
      </c>
      <c r="D53" t="s">
        <v>23</v>
      </c>
      <c r="E53" t="s">
        <v>24</v>
      </c>
      <c r="F53" t="s">
        <v>38</v>
      </c>
      <c r="G53" t="s">
        <v>79</v>
      </c>
      <c r="H53" t="s">
        <v>154</v>
      </c>
      <c r="I53" t="s">
        <v>189</v>
      </c>
      <c r="J53" t="s">
        <v>25</v>
      </c>
      <c r="K53" t="s">
        <v>276</v>
      </c>
      <c r="L53" t="s">
        <v>287</v>
      </c>
      <c r="N53" s="1"/>
    </row>
    <row r="54" spans="1:17" x14ac:dyDescent="0.3">
      <c r="B54">
        <f t="shared" ref="B54:L54" ca="1" si="17">DATEDIF(VLOOKUP(B53,$P$18:$Q$100,2,FALSE),TODAY(),"Y")</f>
        <v>21</v>
      </c>
      <c r="C54">
        <f t="shared" ca="1" si="17"/>
        <v>19</v>
      </c>
      <c r="D54">
        <f t="shared" ca="1" si="17"/>
        <v>19</v>
      </c>
      <c r="E54">
        <f t="shared" ca="1" si="17"/>
        <v>19</v>
      </c>
      <c r="F54">
        <f t="shared" ca="1" si="17"/>
        <v>18</v>
      </c>
      <c r="G54">
        <f t="shared" ca="1" si="17"/>
        <v>18</v>
      </c>
      <c r="H54">
        <f t="shared" ca="1" si="17"/>
        <v>21</v>
      </c>
      <c r="I54">
        <f t="shared" ca="1" si="17"/>
        <v>19</v>
      </c>
      <c r="J54">
        <f t="shared" ca="1" si="17"/>
        <v>37</v>
      </c>
      <c r="K54">
        <f t="shared" ca="1" si="17"/>
        <v>18</v>
      </c>
      <c r="L54">
        <f t="shared" ca="1" si="17"/>
        <v>28</v>
      </c>
      <c r="N54" s="1">
        <f ca="1">AVERAGE(B54:M54)</f>
        <v>21.545454545454547</v>
      </c>
    </row>
    <row r="56" spans="1:17" x14ac:dyDescent="0.3">
      <c r="A56" t="s">
        <v>49</v>
      </c>
      <c r="B56" t="s">
        <v>93</v>
      </c>
      <c r="C56" t="s">
        <v>31</v>
      </c>
      <c r="D56" t="s">
        <v>230</v>
      </c>
      <c r="E56" t="s">
        <v>241</v>
      </c>
      <c r="F56" t="s">
        <v>38</v>
      </c>
      <c r="G56" t="s">
        <v>79</v>
      </c>
      <c r="H56" t="s">
        <v>154</v>
      </c>
      <c r="I56" t="s">
        <v>110</v>
      </c>
      <c r="J56" t="s">
        <v>25</v>
      </c>
      <c r="K56" t="s">
        <v>270</v>
      </c>
      <c r="L56" t="s">
        <v>287</v>
      </c>
      <c r="N56" s="1"/>
    </row>
    <row r="57" spans="1:17" x14ac:dyDescent="0.3">
      <c r="B57">
        <f t="shared" ref="B57:L57" ca="1" si="18">DATEDIF(VLOOKUP(B56,$P$18:$Q$100,2,FALSE),TODAY(),"Y")</f>
        <v>21</v>
      </c>
      <c r="C57">
        <f t="shared" ca="1" si="18"/>
        <v>19</v>
      </c>
      <c r="D57">
        <f t="shared" ca="1" si="18"/>
        <v>20</v>
      </c>
      <c r="E57">
        <f t="shared" ca="1" si="18"/>
        <v>20</v>
      </c>
      <c r="F57">
        <f t="shared" ca="1" si="18"/>
        <v>18</v>
      </c>
      <c r="G57">
        <f t="shared" ca="1" si="18"/>
        <v>18</v>
      </c>
      <c r="H57">
        <f t="shared" ca="1" si="18"/>
        <v>21</v>
      </c>
      <c r="I57">
        <f t="shared" ca="1" si="18"/>
        <v>19</v>
      </c>
      <c r="J57">
        <f t="shared" ca="1" si="18"/>
        <v>37</v>
      </c>
      <c r="K57">
        <f t="shared" ca="1" si="18"/>
        <v>21</v>
      </c>
      <c r="L57">
        <f t="shared" ca="1" si="18"/>
        <v>28</v>
      </c>
      <c r="N57" s="1">
        <f ca="1">AVERAGE(B57:M57)</f>
        <v>22</v>
      </c>
    </row>
    <row r="59" spans="1:17" x14ac:dyDescent="0.3">
      <c r="A59" t="s">
        <v>177</v>
      </c>
      <c r="B59" t="s">
        <v>93</v>
      </c>
      <c r="C59" t="s">
        <v>23</v>
      </c>
      <c r="D59" t="s">
        <v>230</v>
      </c>
      <c r="E59" t="s">
        <v>241</v>
      </c>
      <c r="F59" t="s">
        <v>38</v>
      </c>
      <c r="G59" t="s">
        <v>79</v>
      </c>
      <c r="H59" t="s">
        <v>154</v>
      </c>
      <c r="I59" t="s">
        <v>110</v>
      </c>
      <c r="J59" t="s">
        <v>25</v>
      </c>
      <c r="K59" t="s">
        <v>270</v>
      </c>
      <c r="L59" t="s">
        <v>287</v>
      </c>
      <c r="N59" s="1"/>
    </row>
    <row r="60" spans="1:17" x14ac:dyDescent="0.3">
      <c r="B60">
        <f t="shared" ref="B60:L60" ca="1" si="19">DATEDIF(VLOOKUP(B59,$P$18:$Q$100,2,FALSE),TODAY(),"Y")</f>
        <v>21</v>
      </c>
      <c r="C60">
        <f t="shared" ca="1" si="19"/>
        <v>19</v>
      </c>
      <c r="D60">
        <f t="shared" ca="1" si="19"/>
        <v>20</v>
      </c>
      <c r="E60">
        <f t="shared" ca="1" si="19"/>
        <v>20</v>
      </c>
      <c r="F60">
        <f t="shared" ca="1" si="19"/>
        <v>18</v>
      </c>
      <c r="G60">
        <f t="shared" ca="1" si="19"/>
        <v>18</v>
      </c>
      <c r="H60">
        <f t="shared" ca="1" si="19"/>
        <v>21</v>
      </c>
      <c r="I60">
        <f t="shared" ca="1" si="19"/>
        <v>19</v>
      </c>
      <c r="J60">
        <f t="shared" ca="1" si="19"/>
        <v>37</v>
      </c>
      <c r="K60">
        <f t="shared" ca="1" si="19"/>
        <v>21</v>
      </c>
      <c r="L60">
        <f t="shared" ca="1" si="19"/>
        <v>28</v>
      </c>
      <c r="N60" s="1">
        <f ca="1">AVERAGE(B60:M60)</f>
        <v>22</v>
      </c>
    </row>
    <row r="62" spans="1:17" x14ac:dyDescent="0.3">
      <c r="A62" t="s">
        <v>169</v>
      </c>
      <c r="B62" t="s">
        <v>93</v>
      </c>
      <c r="C62" t="s">
        <v>23</v>
      </c>
      <c r="D62" t="s">
        <v>230</v>
      </c>
      <c r="E62" t="s">
        <v>241</v>
      </c>
      <c r="F62" t="s">
        <v>302</v>
      </c>
      <c r="G62" t="s">
        <v>79</v>
      </c>
      <c r="H62" t="s">
        <v>227</v>
      </c>
      <c r="I62" t="s">
        <v>110</v>
      </c>
      <c r="J62" t="s">
        <v>25</v>
      </c>
      <c r="K62" t="s">
        <v>271</v>
      </c>
      <c r="L62" t="s">
        <v>287</v>
      </c>
      <c r="N62" s="1"/>
    </row>
    <row r="63" spans="1:17" x14ac:dyDescent="0.3">
      <c r="B63">
        <f t="shared" ref="B63:L63" ca="1" si="20">DATEDIF(VLOOKUP(B62,$P$18:$Q$100,2,FALSE),TODAY(),"Y")</f>
        <v>21</v>
      </c>
      <c r="C63">
        <f t="shared" ca="1" si="20"/>
        <v>19</v>
      </c>
      <c r="D63">
        <f t="shared" ca="1" si="20"/>
        <v>20</v>
      </c>
      <c r="E63">
        <f t="shared" ca="1" si="20"/>
        <v>20</v>
      </c>
      <c r="F63">
        <f t="shared" ca="1" si="20"/>
        <v>22</v>
      </c>
      <c r="G63">
        <f t="shared" ca="1" si="20"/>
        <v>18</v>
      </c>
      <c r="H63">
        <f t="shared" ca="1" si="20"/>
        <v>18</v>
      </c>
      <c r="I63">
        <f t="shared" ca="1" si="20"/>
        <v>19</v>
      </c>
      <c r="J63">
        <f t="shared" ca="1" si="20"/>
        <v>37</v>
      </c>
      <c r="K63">
        <f t="shared" ca="1" si="20"/>
        <v>20</v>
      </c>
      <c r="L63">
        <f t="shared" ca="1" si="20"/>
        <v>28</v>
      </c>
      <c r="N63" s="1">
        <f ca="1">AVERAGE(B63:M63)</f>
        <v>22</v>
      </c>
    </row>
    <row r="65" spans="1:14" x14ac:dyDescent="0.3">
      <c r="A65" t="s">
        <v>50</v>
      </c>
      <c r="B65" t="s">
        <v>93</v>
      </c>
      <c r="C65" t="s">
        <v>23</v>
      </c>
      <c r="D65" t="s">
        <v>230</v>
      </c>
      <c r="E65" t="s">
        <v>22</v>
      </c>
      <c r="F65" t="s">
        <v>302</v>
      </c>
      <c r="G65" t="s">
        <v>79</v>
      </c>
      <c r="H65" t="s">
        <v>227</v>
      </c>
      <c r="I65" t="s">
        <v>247</v>
      </c>
      <c r="J65" t="s">
        <v>25</v>
      </c>
      <c r="K65" t="s">
        <v>271</v>
      </c>
      <c r="L65" t="s">
        <v>287</v>
      </c>
      <c r="N65" s="1"/>
    </row>
    <row r="66" spans="1:14" x14ac:dyDescent="0.3">
      <c r="B66">
        <f t="shared" ref="B66:L66" ca="1" si="21">DATEDIF(VLOOKUP(B65,$P$18:$Q$100,2,FALSE),TODAY(),"Y")</f>
        <v>21</v>
      </c>
      <c r="C66">
        <f t="shared" ca="1" si="21"/>
        <v>19</v>
      </c>
      <c r="D66">
        <f t="shared" ca="1" si="21"/>
        <v>20</v>
      </c>
      <c r="E66">
        <f t="shared" ca="1" si="21"/>
        <v>20</v>
      </c>
      <c r="F66">
        <f t="shared" ca="1" si="21"/>
        <v>22</v>
      </c>
      <c r="G66">
        <f t="shared" ca="1" si="21"/>
        <v>18</v>
      </c>
      <c r="H66">
        <f t="shared" ca="1" si="21"/>
        <v>18</v>
      </c>
      <c r="I66">
        <f t="shared" ca="1" si="21"/>
        <v>21</v>
      </c>
      <c r="J66">
        <f t="shared" ca="1" si="21"/>
        <v>37</v>
      </c>
      <c r="K66">
        <f t="shared" ca="1" si="21"/>
        <v>20</v>
      </c>
      <c r="L66">
        <f t="shared" ca="1" si="21"/>
        <v>28</v>
      </c>
      <c r="N66" s="1">
        <f ca="1">AVERAGE(B66:M66)</f>
        <v>22.181818181818183</v>
      </c>
    </row>
    <row r="68" spans="1:14" x14ac:dyDescent="0.3">
      <c r="A68" t="s">
        <v>46</v>
      </c>
      <c r="B68" t="s">
        <v>317</v>
      </c>
      <c r="C68" t="s">
        <v>23</v>
      </c>
      <c r="D68" t="s">
        <v>230</v>
      </c>
      <c r="E68" t="s">
        <v>318</v>
      </c>
      <c r="F68" t="s">
        <v>302</v>
      </c>
      <c r="G68" t="s">
        <v>79</v>
      </c>
      <c r="H68" t="s">
        <v>241</v>
      </c>
      <c r="I68" t="s">
        <v>247</v>
      </c>
      <c r="J68" t="s">
        <v>319</v>
      </c>
      <c r="K68" t="s">
        <v>271</v>
      </c>
      <c r="L68" t="s">
        <v>287</v>
      </c>
      <c r="N68" s="1"/>
    </row>
    <row r="69" spans="1:14" x14ac:dyDescent="0.3">
      <c r="B69">
        <f t="shared" ref="B69:L69" ca="1" si="22">DATEDIF(VLOOKUP(B68,$P$18:$Q$100,2,FALSE),TODAY(),"Y")</f>
        <v>19</v>
      </c>
      <c r="C69">
        <f t="shared" ca="1" si="22"/>
        <v>19</v>
      </c>
      <c r="D69">
        <f t="shared" ca="1" si="22"/>
        <v>20</v>
      </c>
      <c r="E69">
        <f t="shared" ca="1" si="22"/>
        <v>19</v>
      </c>
      <c r="F69">
        <f t="shared" ca="1" si="22"/>
        <v>22</v>
      </c>
      <c r="G69">
        <f t="shared" ca="1" si="22"/>
        <v>18</v>
      </c>
      <c r="H69">
        <f t="shared" ca="1" si="22"/>
        <v>20</v>
      </c>
      <c r="I69">
        <f t="shared" ca="1" si="22"/>
        <v>21</v>
      </c>
      <c r="J69">
        <f t="shared" ca="1" si="22"/>
        <v>20</v>
      </c>
      <c r="K69">
        <f t="shared" ca="1" si="22"/>
        <v>20</v>
      </c>
      <c r="L69">
        <f t="shared" ca="1" si="22"/>
        <v>28</v>
      </c>
      <c r="N69" s="1">
        <f ca="1">AVERAGE(B69:M69)</f>
        <v>20.545454545454547</v>
      </c>
    </row>
    <row r="71" spans="1:14" x14ac:dyDescent="0.3">
      <c r="A71" t="s">
        <v>55</v>
      </c>
      <c r="B71" t="s">
        <v>317</v>
      </c>
      <c r="C71" t="s">
        <v>23</v>
      </c>
      <c r="D71" t="s">
        <v>38</v>
      </c>
      <c r="E71" t="s">
        <v>59</v>
      </c>
      <c r="F71" t="s">
        <v>24</v>
      </c>
      <c r="G71" t="s">
        <v>79</v>
      </c>
      <c r="H71" t="s">
        <v>227</v>
      </c>
      <c r="I71" t="s">
        <v>25</v>
      </c>
      <c r="J71" t="s">
        <v>189</v>
      </c>
      <c r="K71" t="s">
        <v>271</v>
      </c>
      <c r="L71" t="s">
        <v>287</v>
      </c>
      <c r="N71" s="1"/>
    </row>
    <row r="72" spans="1:14" x14ac:dyDescent="0.3">
      <c r="B72">
        <f t="shared" ref="B72:L72" ca="1" si="23">DATEDIF(VLOOKUP(B71,$P$18:$Q$100,2,FALSE),TODAY(),"Y")</f>
        <v>19</v>
      </c>
      <c r="C72">
        <f t="shared" ca="1" si="23"/>
        <v>19</v>
      </c>
      <c r="D72">
        <f t="shared" ca="1" si="23"/>
        <v>18</v>
      </c>
      <c r="E72">
        <f t="shared" ca="1" si="23"/>
        <v>20</v>
      </c>
      <c r="F72">
        <f t="shared" ca="1" si="23"/>
        <v>19</v>
      </c>
      <c r="G72">
        <f t="shared" ca="1" si="23"/>
        <v>18</v>
      </c>
      <c r="H72">
        <f t="shared" ca="1" si="23"/>
        <v>18</v>
      </c>
      <c r="I72">
        <f t="shared" ca="1" si="23"/>
        <v>37</v>
      </c>
      <c r="J72">
        <f t="shared" ca="1" si="23"/>
        <v>19</v>
      </c>
      <c r="K72">
        <f t="shared" ca="1" si="23"/>
        <v>20</v>
      </c>
      <c r="L72">
        <f t="shared" ca="1" si="23"/>
        <v>28</v>
      </c>
      <c r="N72" s="1">
        <f ca="1">AVERAGE(B72:M72)</f>
        <v>21.363636363636363</v>
      </c>
    </row>
    <row r="74" spans="1:14" x14ac:dyDescent="0.3">
      <c r="A74" t="s">
        <v>203</v>
      </c>
      <c r="B74" t="s">
        <v>317</v>
      </c>
      <c r="C74" t="s">
        <v>23</v>
      </c>
      <c r="D74" t="s">
        <v>38</v>
      </c>
      <c r="E74" t="s">
        <v>319</v>
      </c>
      <c r="F74" t="s">
        <v>22</v>
      </c>
      <c r="G74" t="s">
        <v>318</v>
      </c>
      <c r="H74" t="s">
        <v>270</v>
      </c>
      <c r="I74" t="s">
        <v>25</v>
      </c>
      <c r="J74" t="s">
        <v>241</v>
      </c>
      <c r="K74" t="s">
        <v>271</v>
      </c>
      <c r="L74" t="s">
        <v>287</v>
      </c>
      <c r="N74" s="1"/>
    </row>
    <row r="75" spans="1:14" x14ac:dyDescent="0.3">
      <c r="B75">
        <f t="shared" ref="B75:L75" ca="1" si="24">DATEDIF(VLOOKUP(B74,$P$18:$Q$100,2,FALSE),TODAY(),"Y")</f>
        <v>19</v>
      </c>
      <c r="C75">
        <f t="shared" ca="1" si="24"/>
        <v>19</v>
      </c>
      <c r="D75">
        <f t="shared" ca="1" si="24"/>
        <v>18</v>
      </c>
      <c r="E75">
        <f t="shared" ca="1" si="24"/>
        <v>20</v>
      </c>
      <c r="F75">
        <f t="shared" ca="1" si="24"/>
        <v>20</v>
      </c>
      <c r="G75">
        <f t="shared" ca="1" si="24"/>
        <v>19</v>
      </c>
      <c r="H75">
        <f t="shared" ca="1" si="24"/>
        <v>21</v>
      </c>
      <c r="I75">
        <f t="shared" ca="1" si="24"/>
        <v>37</v>
      </c>
      <c r="J75">
        <f t="shared" ca="1" si="24"/>
        <v>20</v>
      </c>
      <c r="K75">
        <f t="shared" ca="1" si="24"/>
        <v>20</v>
      </c>
      <c r="L75">
        <f t="shared" ca="1" si="24"/>
        <v>28</v>
      </c>
      <c r="N75" s="1">
        <f ca="1">AVERAGE(B75:M75)</f>
        <v>21.90909090909091</v>
      </c>
    </row>
    <row r="77" spans="1:14" x14ac:dyDescent="0.3">
      <c r="A77" t="s">
        <v>51</v>
      </c>
      <c r="B77" t="s">
        <v>317</v>
      </c>
      <c r="C77" t="s">
        <v>23</v>
      </c>
      <c r="D77" t="s">
        <v>38</v>
      </c>
      <c r="E77" t="s">
        <v>227</v>
      </c>
      <c r="F77" t="s">
        <v>22</v>
      </c>
      <c r="G77" t="s">
        <v>318</v>
      </c>
      <c r="H77" t="s">
        <v>24</v>
      </c>
      <c r="I77" t="s">
        <v>247</v>
      </c>
      <c r="J77" t="s">
        <v>241</v>
      </c>
      <c r="K77" t="s">
        <v>271</v>
      </c>
      <c r="L77" t="s">
        <v>59</v>
      </c>
      <c r="N77" s="1"/>
    </row>
    <row r="78" spans="1:14" x14ac:dyDescent="0.3">
      <c r="B78">
        <f t="shared" ref="B78:L78" ca="1" si="25">DATEDIF(VLOOKUP(B77,$P$18:$Q$100,2,FALSE),TODAY(),"Y")</f>
        <v>19</v>
      </c>
      <c r="C78">
        <f t="shared" ca="1" si="25"/>
        <v>19</v>
      </c>
      <c r="D78">
        <f t="shared" ca="1" si="25"/>
        <v>18</v>
      </c>
      <c r="E78">
        <f t="shared" ca="1" si="25"/>
        <v>18</v>
      </c>
      <c r="F78">
        <f t="shared" ca="1" si="25"/>
        <v>20</v>
      </c>
      <c r="G78">
        <f t="shared" ca="1" si="25"/>
        <v>19</v>
      </c>
      <c r="H78">
        <f t="shared" ca="1" si="25"/>
        <v>19</v>
      </c>
      <c r="I78">
        <f t="shared" ca="1" si="25"/>
        <v>21</v>
      </c>
      <c r="J78">
        <f t="shared" ca="1" si="25"/>
        <v>20</v>
      </c>
      <c r="K78">
        <f t="shared" ca="1" si="25"/>
        <v>20</v>
      </c>
      <c r="L78">
        <f t="shared" ca="1" si="25"/>
        <v>20</v>
      </c>
      <c r="N78" s="1">
        <f ca="1">AVERAGE(B78:M78)</f>
        <v>19.363636363636363</v>
      </c>
    </row>
    <row r="80" spans="1:14" x14ac:dyDescent="0.3">
      <c r="A80" t="s">
        <v>181</v>
      </c>
      <c r="B80" t="s">
        <v>317</v>
      </c>
      <c r="C80" t="s">
        <v>23</v>
      </c>
      <c r="D80" t="s">
        <v>178</v>
      </c>
      <c r="E80" t="s">
        <v>227</v>
      </c>
      <c r="F80" t="s">
        <v>79</v>
      </c>
      <c r="G80" t="s">
        <v>94</v>
      </c>
      <c r="H80" t="s">
        <v>24</v>
      </c>
      <c r="I80" t="s">
        <v>247</v>
      </c>
      <c r="J80" t="s">
        <v>25</v>
      </c>
      <c r="K80" t="s">
        <v>271</v>
      </c>
      <c r="L80" t="s">
        <v>302</v>
      </c>
      <c r="N80" s="1"/>
    </row>
    <row r="81" spans="1:14" x14ac:dyDescent="0.3">
      <c r="B81">
        <f t="shared" ref="B81:L81" ca="1" si="26">DATEDIF(VLOOKUP(B80,$P$18:$Q$100,2,FALSE),TODAY(),"Y")</f>
        <v>19</v>
      </c>
      <c r="C81">
        <f t="shared" ca="1" si="26"/>
        <v>19</v>
      </c>
      <c r="D81">
        <f t="shared" ca="1" si="26"/>
        <v>21</v>
      </c>
      <c r="E81">
        <f t="shared" ca="1" si="26"/>
        <v>18</v>
      </c>
      <c r="F81">
        <f t="shared" ca="1" si="26"/>
        <v>18</v>
      </c>
      <c r="G81">
        <f t="shared" ca="1" si="26"/>
        <v>20</v>
      </c>
      <c r="H81">
        <f t="shared" ca="1" si="26"/>
        <v>19</v>
      </c>
      <c r="I81">
        <f t="shared" ca="1" si="26"/>
        <v>21</v>
      </c>
      <c r="J81">
        <f t="shared" ca="1" si="26"/>
        <v>37</v>
      </c>
      <c r="K81">
        <f t="shared" ca="1" si="26"/>
        <v>20</v>
      </c>
      <c r="L81">
        <f t="shared" ca="1" si="26"/>
        <v>22</v>
      </c>
      <c r="N81" s="1">
        <f ca="1">AVERAGE(B81:M81)</f>
        <v>21.272727272727273</v>
      </c>
    </row>
    <row r="83" spans="1:14" x14ac:dyDescent="0.3">
      <c r="A83" t="s">
        <v>53</v>
      </c>
      <c r="B83" t="s">
        <v>93</v>
      </c>
      <c r="C83" t="s">
        <v>319</v>
      </c>
      <c r="D83" t="s">
        <v>227</v>
      </c>
      <c r="E83" t="s">
        <v>24</v>
      </c>
      <c r="F83" t="s">
        <v>79</v>
      </c>
      <c r="G83" t="s">
        <v>271</v>
      </c>
      <c r="H83" t="s">
        <v>247</v>
      </c>
      <c r="I83" t="s">
        <v>59</v>
      </c>
      <c r="J83" t="s">
        <v>318</v>
      </c>
      <c r="K83" t="s">
        <v>270</v>
      </c>
      <c r="L83" t="s">
        <v>241</v>
      </c>
      <c r="N83" s="1"/>
    </row>
    <row r="84" spans="1:14" x14ac:dyDescent="0.3">
      <c r="B84">
        <f t="shared" ref="B84:L84" ca="1" si="27">DATEDIF(VLOOKUP(B83,$P$18:$Q$100,2,FALSE),TODAY(),"Y")</f>
        <v>21</v>
      </c>
      <c r="C84">
        <f t="shared" ca="1" si="27"/>
        <v>20</v>
      </c>
      <c r="D84">
        <f t="shared" ca="1" si="27"/>
        <v>18</v>
      </c>
      <c r="E84">
        <f t="shared" ca="1" si="27"/>
        <v>19</v>
      </c>
      <c r="F84">
        <f t="shared" ca="1" si="27"/>
        <v>18</v>
      </c>
      <c r="G84">
        <f t="shared" ca="1" si="27"/>
        <v>20</v>
      </c>
      <c r="H84">
        <f t="shared" ca="1" si="27"/>
        <v>21</v>
      </c>
      <c r="I84">
        <f t="shared" ca="1" si="27"/>
        <v>20</v>
      </c>
      <c r="J84">
        <f t="shared" ca="1" si="27"/>
        <v>19</v>
      </c>
      <c r="K84">
        <f t="shared" ca="1" si="27"/>
        <v>21</v>
      </c>
      <c r="L84">
        <f t="shared" ca="1" si="27"/>
        <v>20</v>
      </c>
      <c r="N84" s="1">
        <f ca="1">AVERAGE(B84:M84)</f>
        <v>19.727272727272727</v>
      </c>
    </row>
    <row r="86" spans="1:14" x14ac:dyDescent="0.3">
      <c r="A86" t="s">
        <v>231</v>
      </c>
      <c r="B86" t="s">
        <v>93</v>
      </c>
      <c r="C86" t="s">
        <v>319</v>
      </c>
      <c r="D86" t="s">
        <v>227</v>
      </c>
      <c r="E86" t="s">
        <v>24</v>
      </c>
      <c r="F86" t="s">
        <v>79</v>
      </c>
      <c r="G86" t="s">
        <v>271</v>
      </c>
      <c r="H86" t="s">
        <v>247</v>
      </c>
      <c r="I86" t="s">
        <v>59</v>
      </c>
      <c r="J86" t="s">
        <v>318</v>
      </c>
      <c r="K86" t="s">
        <v>270</v>
      </c>
      <c r="L86" t="s">
        <v>25</v>
      </c>
      <c r="N86" s="1"/>
    </row>
    <row r="87" spans="1:14" x14ac:dyDescent="0.3">
      <c r="B87">
        <f t="shared" ref="B87:L87" ca="1" si="28">DATEDIF(VLOOKUP(B86,$P$18:$Q$100,2,FALSE),TODAY(),"Y")</f>
        <v>21</v>
      </c>
      <c r="C87">
        <f t="shared" ca="1" si="28"/>
        <v>20</v>
      </c>
      <c r="D87">
        <f t="shared" ca="1" si="28"/>
        <v>18</v>
      </c>
      <c r="E87">
        <f t="shared" ca="1" si="28"/>
        <v>19</v>
      </c>
      <c r="F87">
        <f t="shared" ca="1" si="28"/>
        <v>18</v>
      </c>
      <c r="G87">
        <f t="shared" ca="1" si="28"/>
        <v>20</v>
      </c>
      <c r="H87">
        <f t="shared" ca="1" si="28"/>
        <v>21</v>
      </c>
      <c r="I87">
        <f t="shared" ca="1" si="28"/>
        <v>20</v>
      </c>
      <c r="J87">
        <f t="shared" ca="1" si="28"/>
        <v>19</v>
      </c>
      <c r="K87">
        <f t="shared" ca="1" si="28"/>
        <v>21</v>
      </c>
      <c r="L87">
        <f t="shared" ca="1" si="28"/>
        <v>37</v>
      </c>
      <c r="N87" s="1">
        <f ca="1">AVERAGE(B87:M87)</f>
        <v>21.272727272727273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E1E7-4E05-419E-8824-98C6A5690768}">
  <dimension ref="A1:T78"/>
  <sheetViews>
    <sheetView topLeftCell="A16" workbookViewId="0">
      <selection activeCell="P18" sqref="P18:P50"/>
    </sheetView>
  </sheetViews>
  <sheetFormatPr baseColWidth="10" defaultRowHeight="14.4" x14ac:dyDescent="0.3"/>
  <cols>
    <col min="1" max="1" width="15.44140625" customWidth="1"/>
    <col min="14" max="14" width="11.5546875" style="1"/>
  </cols>
  <sheetData>
    <row r="1" spans="1:14" x14ac:dyDescent="0.3">
      <c r="N1" s="1">
        <f ca="1">AVERAGE(N3:N99)</f>
        <v>20.98951048951049</v>
      </c>
    </row>
    <row r="2" spans="1:14" x14ac:dyDescent="0.3">
      <c r="A2" t="s">
        <v>15</v>
      </c>
      <c r="B2" t="s">
        <v>9</v>
      </c>
      <c r="C2" t="s">
        <v>17</v>
      </c>
      <c r="D2" t="s">
        <v>10</v>
      </c>
      <c r="E2" t="s">
        <v>11</v>
      </c>
      <c r="F2" t="s">
        <v>12</v>
      </c>
      <c r="G2" t="s">
        <v>29</v>
      </c>
      <c r="H2" t="s">
        <v>14</v>
      </c>
      <c r="I2" t="s">
        <v>28</v>
      </c>
      <c r="J2" t="s">
        <v>78</v>
      </c>
      <c r="K2" t="s">
        <v>95</v>
      </c>
      <c r="L2" t="s">
        <v>96</v>
      </c>
    </row>
    <row r="3" spans="1:14" x14ac:dyDescent="0.3">
      <c r="B3">
        <f ca="1">DATEDIF(VLOOKUP(B2,$P$18:$Q$100,2,FALSE),TODAY(),"Y")</f>
        <v>24</v>
      </c>
      <c r="C3">
        <f t="shared" ref="C3:L3" ca="1" si="0">DATEDIF(VLOOKUP(C2,$P$18:$Q$100,2,FALSE),TODAY(),"Y")</f>
        <v>19</v>
      </c>
      <c r="D3">
        <f t="shared" ca="1" si="0"/>
        <v>20</v>
      </c>
      <c r="E3">
        <f t="shared" ca="1" si="0"/>
        <v>25</v>
      </c>
      <c r="F3">
        <f t="shared" ca="1" si="0"/>
        <v>25</v>
      </c>
      <c r="G3">
        <f t="shared" ca="1" si="0"/>
        <v>20</v>
      </c>
      <c r="H3">
        <f t="shared" ca="1" si="0"/>
        <v>19</v>
      </c>
      <c r="I3">
        <f t="shared" ca="1" si="0"/>
        <v>20</v>
      </c>
      <c r="J3">
        <f t="shared" ca="1" si="0"/>
        <v>22</v>
      </c>
      <c r="K3">
        <f t="shared" ca="1" si="0"/>
        <v>21</v>
      </c>
      <c r="L3">
        <f t="shared" ca="1" si="0"/>
        <v>19</v>
      </c>
      <c r="N3" s="1">
        <f ca="1">AVERAGE(B3:M3)</f>
        <v>21.272727272727273</v>
      </c>
    </row>
    <row r="5" spans="1:14" x14ac:dyDescent="0.3">
      <c r="A5" t="s">
        <v>112</v>
      </c>
      <c r="B5" t="s">
        <v>9</v>
      </c>
      <c r="C5" t="s">
        <v>17</v>
      </c>
      <c r="D5" t="s">
        <v>10</v>
      </c>
      <c r="E5" t="s">
        <v>11</v>
      </c>
      <c r="F5" t="s">
        <v>12</v>
      </c>
      <c r="G5" t="s">
        <v>29</v>
      </c>
      <c r="H5" t="s">
        <v>111</v>
      </c>
      <c r="I5" t="s">
        <v>28</v>
      </c>
      <c r="J5" t="s">
        <v>78</v>
      </c>
      <c r="K5" t="s">
        <v>95</v>
      </c>
      <c r="L5" t="s">
        <v>96</v>
      </c>
    </row>
    <row r="6" spans="1:14" x14ac:dyDescent="0.3">
      <c r="B6">
        <f ca="1">DATEDIF(VLOOKUP(B5,$P$18:$Q$100,2,FALSE),TODAY(),"Y")</f>
        <v>24</v>
      </c>
      <c r="C6">
        <f t="shared" ref="C6:L6" ca="1" si="1">DATEDIF(VLOOKUP(C5,$P$18:$Q$100,2,FALSE),TODAY(),"Y")</f>
        <v>19</v>
      </c>
      <c r="D6">
        <f t="shared" ca="1" si="1"/>
        <v>20</v>
      </c>
      <c r="E6">
        <f t="shared" ca="1" si="1"/>
        <v>25</v>
      </c>
      <c r="F6">
        <f t="shared" ca="1" si="1"/>
        <v>25</v>
      </c>
      <c r="G6">
        <f t="shared" ca="1" si="1"/>
        <v>20</v>
      </c>
      <c r="H6">
        <f t="shared" ca="1" si="1"/>
        <v>22</v>
      </c>
      <c r="I6">
        <f t="shared" ca="1" si="1"/>
        <v>20</v>
      </c>
      <c r="J6">
        <f t="shared" ca="1" si="1"/>
        <v>22</v>
      </c>
      <c r="K6">
        <f t="shared" ca="1" si="1"/>
        <v>21</v>
      </c>
      <c r="L6">
        <f t="shared" ca="1" si="1"/>
        <v>19</v>
      </c>
      <c r="N6" s="1">
        <f ca="1">AVERAGE(B6:M6)</f>
        <v>21.545454545454547</v>
      </c>
    </row>
    <row r="8" spans="1:14" x14ac:dyDescent="0.3">
      <c r="A8" t="s">
        <v>33</v>
      </c>
      <c r="B8" t="s">
        <v>9</v>
      </c>
      <c r="C8" t="s">
        <v>17</v>
      </c>
      <c r="D8" t="s">
        <v>10</v>
      </c>
      <c r="E8" t="s">
        <v>11</v>
      </c>
      <c r="F8" t="s">
        <v>12</v>
      </c>
      <c r="G8" t="s">
        <v>29</v>
      </c>
      <c r="H8" t="s">
        <v>14</v>
      </c>
      <c r="I8" t="s">
        <v>28</v>
      </c>
      <c r="J8" t="s">
        <v>78</v>
      </c>
      <c r="K8" t="s">
        <v>95</v>
      </c>
      <c r="L8" t="s">
        <v>96</v>
      </c>
    </row>
    <row r="9" spans="1:14" x14ac:dyDescent="0.3">
      <c r="B9">
        <f ca="1">DATEDIF(VLOOKUP(B8,$P$18:$Q$100,2,FALSE),TODAY(),"Y")</f>
        <v>24</v>
      </c>
      <c r="C9">
        <f t="shared" ref="C9:L9" ca="1" si="2">DATEDIF(VLOOKUP(C8,$P$18:$Q$100,2,FALSE),TODAY(),"Y")</f>
        <v>19</v>
      </c>
      <c r="D9">
        <f t="shared" ca="1" si="2"/>
        <v>20</v>
      </c>
      <c r="E9">
        <f t="shared" ca="1" si="2"/>
        <v>25</v>
      </c>
      <c r="F9">
        <f t="shared" ca="1" si="2"/>
        <v>25</v>
      </c>
      <c r="G9">
        <f t="shared" ca="1" si="2"/>
        <v>20</v>
      </c>
      <c r="H9">
        <f t="shared" ca="1" si="2"/>
        <v>19</v>
      </c>
      <c r="I9">
        <f t="shared" ca="1" si="2"/>
        <v>20</v>
      </c>
      <c r="J9">
        <f t="shared" ca="1" si="2"/>
        <v>22</v>
      </c>
      <c r="K9">
        <f t="shared" ca="1" si="2"/>
        <v>21</v>
      </c>
      <c r="L9">
        <f t="shared" ca="1" si="2"/>
        <v>19</v>
      </c>
      <c r="N9" s="1">
        <f ca="1">AVERAGE(B9:M9)</f>
        <v>21.272727272727273</v>
      </c>
    </row>
    <row r="11" spans="1:14" x14ac:dyDescent="0.3">
      <c r="A11" t="s">
        <v>102</v>
      </c>
      <c r="B11" t="s">
        <v>9</v>
      </c>
      <c r="C11" t="s">
        <v>17</v>
      </c>
      <c r="D11" t="s">
        <v>10</v>
      </c>
      <c r="E11" t="s">
        <v>11</v>
      </c>
      <c r="F11" t="s">
        <v>12</v>
      </c>
      <c r="G11" t="s">
        <v>111</v>
      </c>
      <c r="H11" t="s">
        <v>14</v>
      </c>
      <c r="I11" t="s">
        <v>28</v>
      </c>
      <c r="J11" t="s">
        <v>78</v>
      </c>
      <c r="K11" t="s">
        <v>170</v>
      </c>
      <c r="L11" t="s">
        <v>96</v>
      </c>
    </row>
    <row r="12" spans="1:14" x14ac:dyDescent="0.3">
      <c r="B12">
        <f ca="1">DATEDIF(VLOOKUP(B11,$P$18:$Q$100,2,FALSE),TODAY(),"Y")</f>
        <v>24</v>
      </c>
      <c r="C12">
        <f t="shared" ref="C12:L12" ca="1" si="3">DATEDIF(VLOOKUP(C11,$P$18:$Q$100,2,FALSE),TODAY(),"Y")</f>
        <v>19</v>
      </c>
      <c r="D12">
        <f t="shared" ca="1" si="3"/>
        <v>20</v>
      </c>
      <c r="E12">
        <f t="shared" ca="1" si="3"/>
        <v>25</v>
      </c>
      <c r="F12">
        <f t="shared" ca="1" si="3"/>
        <v>25</v>
      </c>
      <c r="G12">
        <f t="shared" ca="1" si="3"/>
        <v>22</v>
      </c>
      <c r="H12">
        <f t="shared" ca="1" si="3"/>
        <v>19</v>
      </c>
      <c r="I12">
        <f t="shared" ca="1" si="3"/>
        <v>20</v>
      </c>
      <c r="J12">
        <f t="shared" ca="1" si="3"/>
        <v>22</v>
      </c>
      <c r="K12">
        <f t="shared" ca="1" si="3"/>
        <v>18</v>
      </c>
      <c r="L12">
        <f t="shared" ca="1" si="3"/>
        <v>19</v>
      </c>
      <c r="N12" s="1">
        <f t="shared" ref="N12" ca="1" si="4">AVERAGE(B12:M12)</f>
        <v>21.181818181818183</v>
      </c>
    </row>
    <row r="14" spans="1:14" x14ac:dyDescent="0.3">
      <c r="A14" t="s">
        <v>149</v>
      </c>
      <c r="B14" t="s">
        <v>13</v>
      </c>
      <c r="C14" t="s">
        <v>17</v>
      </c>
      <c r="D14" t="s">
        <v>10</v>
      </c>
      <c r="E14" t="s">
        <v>11</v>
      </c>
      <c r="F14" t="s">
        <v>12</v>
      </c>
      <c r="G14" t="s">
        <v>111</v>
      </c>
      <c r="H14" t="s">
        <v>175</v>
      </c>
      <c r="I14" t="s">
        <v>176</v>
      </c>
      <c r="J14" t="s">
        <v>78</v>
      </c>
      <c r="K14" t="s">
        <v>170</v>
      </c>
      <c r="L14" t="s">
        <v>96</v>
      </c>
    </row>
    <row r="15" spans="1:14" x14ac:dyDescent="0.3">
      <c r="B15">
        <f ca="1">DATEDIF(VLOOKUP(B14,$P$18:$Q$100,2,FALSE),TODAY(),"Y")</f>
        <v>20</v>
      </c>
      <c r="C15">
        <f t="shared" ref="C15:L15" ca="1" si="5">DATEDIF(VLOOKUP(C14,$P$18:$Q$100,2,FALSE),TODAY(),"Y")</f>
        <v>19</v>
      </c>
      <c r="D15">
        <f t="shared" ca="1" si="5"/>
        <v>20</v>
      </c>
      <c r="E15">
        <f t="shared" ca="1" si="5"/>
        <v>25</v>
      </c>
      <c r="F15">
        <f t="shared" ca="1" si="5"/>
        <v>25</v>
      </c>
      <c r="G15">
        <f t="shared" ca="1" si="5"/>
        <v>22</v>
      </c>
      <c r="H15">
        <f t="shared" ca="1" si="5"/>
        <v>21</v>
      </c>
      <c r="I15">
        <f t="shared" ca="1" si="5"/>
        <v>20</v>
      </c>
      <c r="J15">
        <f t="shared" ca="1" si="5"/>
        <v>22</v>
      </c>
      <c r="K15">
        <f t="shared" ca="1" si="5"/>
        <v>18</v>
      </c>
      <c r="L15">
        <f t="shared" ca="1" si="5"/>
        <v>19</v>
      </c>
      <c r="N15" s="1">
        <f ca="1">AVERAGE(B15:L15)</f>
        <v>21</v>
      </c>
    </row>
    <row r="17" spans="1:20" x14ac:dyDescent="0.3">
      <c r="A17" t="s">
        <v>166</v>
      </c>
      <c r="B17" t="s">
        <v>13</v>
      </c>
      <c r="C17" t="s">
        <v>192</v>
      </c>
      <c r="D17" t="s">
        <v>10</v>
      </c>
      <c r="E17" t="s">
        <v>14</v>
      </c>
      <c r="F17" t="s">
        <v>12</v>
      </c>
      <c r="G17" t="s">
        <v>95</v>
      </c>
      <c r="H17" t="s">
        <v>193</v>
      </c>
      <c r="I17" t="s">
        <v>28</v>
      </c>
      <c r="J17" t="s">
        <v>78</v>
      </c>
      <c r="K17" t="s">
        <v>170</v>
      </c>
      <c r="L17" t="s">
        <v>96</v>
      </c>
    </row>
    <row r="18" spans="1:20" x14ac:dyDescent="0.3">
      <c r="B18">
        <f ca="1">DATEDIF(VLOOKUP(B17,$P$18:$Q$100,2,FALSE),TODAY(),"Y")</f>
        <v>20</v>
      </c>
      <c r="C18">
        <f t="shared" ref="C18:L18" ca="1" si="6">DATEDIF(VLOOKUP(C17,$P$18:$Q$100,2,FALSE),TODAY(),"Y")</f>
        <v>19</v>
      </c>
      <c r="D18">
        <f t="shared" ca="1" si="6"/>
        <v>20</v>
      </c>
      <c r="E18">
        <f t="shared" ca="1" si="6"/>
        <v>19</v>
      </c>
      <c r="F18">
        <f t="shared" ca="1" si="6"/>
        <v>25</v>
      </c>
      <c r="G18">
        <f t="shared" ca="1" si="6"/>
        <v>21</v>
      </c>
      <c r="H18">
        <f t="shared" ca="1" si="6"/>
        <v>21</v>
      </c>
      <c r="I18">
        <f t="shared" ca="1" si="6"/>
        <v>20</v>
      </c>
      <c r="J18">
        <f t="shared" ca="1" si="6"/>
        <v>22</v>
      </c>
      <c r="K18">
        <f t="shared" ca="1" si="6"/>
        <v>18</v>
      </c>
      <c r="L18">
        <f t="shared" ca="1" si="6"/>
        <v>19</v>
      </c>
      <c r="N18" s="1">
        <f ca="1">AVERAGE(B18:L18)</f>
        <v>20.363636363636363</v>
      </c>
      <c r="P18" t="s">
        <v>9</v>
      </c>
      <c r="Q18" s="6">
        <v>37152</v>
      </c>
      <c r="T18">
        <v>33</v>
      </c>
    </row>
    <row r="19" spans="1:20" x14ac:dyDescent="0.3">
      <c r="P19" t="s">
        <v>17</v>
      </c>
      <c r="Q19" s="6">
        <v>38876</v>
      </c>
    </row>
    <row r="20" spans="1:20" x14ac:dyDescent="0.3">
      <c r="A20" t="s">
        <v>174</v>
      </c>
      <c r="B20" t="s">
        <v>196</v>
      </c>
      <c r="C20" t="s">
        <v>28</v>
      </c>
      <c r="D20" t="s">
        <v>10</v>
      </c>
      <c r="E20" t="s">
        <v>14</v>
      </c>
      <c r="F20" t="s">
        <v>12</v>
      </c>
      <c r="G20" t="s">
        <v>11</v>
      </c>
      <c r="H20" t="s">
        <v>197</v>
      </c>
      <c r="I20" t="s">
        <v>29</v>
      </c>
      <c r="J20" t="s">
        <v>78</v>
      </c>
      <c r="K20" t="s">
        <v>170</v>
      </c>
      <c r="L20" t="s">
        <v>17</v>
      </c>
      <c r="P20" t="s">
        <v>10</v>
      </c>
      <c r="Q20" s="6">
        <v>38589</v>
      </c>
    </row>
    <row r="21" spans="1:20" x14ac:dyDescent="0.3">
      <c r="B21">
        <f ca="1">DATEDIF(VLOOKUP(B20,$P$18:$Q$100,2,FALSE),TODAY(),"Y")</f>
        <v>17</v>
      </c>
      <c r="C21">
        <f t="shared" ref="C21:L21" ca="1" si="7">DATEDIF(VLOOKUP(C20,$P$18:$Q$100,2,FALSE),TODAY(),"Y")</f>
        <v>20</v>
      </c>
      <c r="D21">
        <f t="shared" ca="1" si="7"/>
        <v>20</v>
      </c>
      <c r="E21">
        <f t="shared" ca="1" si="7"/>
        <v>19</v>
      </c>
      <c r="F21">
        <f t="shared" ca="1" si="7"/>
        <v>25</v>
      </c>
      <c r="G21">
        <f t="shared" ca="1" si="7"/>
        <v>25</v>
      </c>
      <c r="H21">
        <f t="shared" ca="1" si="7"/>
        <v>20</v>
      </c>
      <c r="I21">
        <f t="shared" ca="1" si="7"/>
        <v>20</v>
      </c>
      <c r="J21">
        <f t="shared" ca="1" si="7"/>
        <v>22</v>
      </c>
      <c r="K21">
        <f t="shared" ca="1" si="7"/>
        <v>18</v>
      </c>
      <c r="L21">
        <f t="shared" ca="1" si="7"/>
        <v>19</v>
      </c>
      <c r="N21" s="1">
        <f ca="1">AVERAGE(B21:L21)</f>
        <v>20.454545454545453</v>
      </c>
      <c r="P21" t="s">
        <v>11</v>
      </c>
      <c r="Q21" s="6">
        <v>36971</v>
      </c>
    </row>
    <row r="22" spans="1:20" x14ac:dyDescent="0.3">
      <c r="P22" t="s">
        <v>12</v>
      </c>
      <c r="Q22" s="6">
        <v>36971</v>
      </c>
    </row>
    <row r="23" spans="1:20" x14ac:dyDescent="0.3">
      <c r="A23" t="s">
        <v>191</v>
      </c>
      <c r="B23" t="s">
        <v>13</v>
      </c>
      <c r="C23" t="s">
        <v>28</v>
      </c>
      <c r="D23" t="s">
        <v>10</v>
      </c>
      <c r="E23" t="s">
        <v>14</v>
      </c>
      <c r="F23" t="s">
        <v>12</v>
      </c>
      <c r="G23" t="s">
        <v>11</v>
      </c>
      <c r="H23" t="s">
        <v>220</v>
      </c>
      <c r="I23" t="s">
        <v>29</v>
      </c>
      <c r="J23" t="s">
        <v>78</v>
      </c>
      <c r="K23" t="s">
        <v>170</v>
      </c>
      <c r="L23" t="s">
        <v>17</v>
      </c>
      <c r="P23" t="s">
        <v>14</v>
      </c>
      <c r="Q23" s="6">
        <v>38962</v>
      </c>
    </row>
    <row r="24" spans="1:20" x14ac:dyDescent="0.3">
      <c r="B24">
        <f ca="1">DATEDIF(VLOOKUP(B23,$P$18:$Q$100,2,FALSE),TODAY(),"Y")</f>
        <v>20</v>
      </c>
      <c r="C24">
        <f t="shared" ref="C24:L24" ca="1" si="8">DATEDIF(VLOOKUP(C23,$P$18:$Q$100,2,FALSE),TODAY(),"Y")</f>
        <v>20</v>
      </c>
      <c r="D24">
        <f t="shared" ca="1" si="8"/>
        <v>20</v>
      </c>
      <c r="E24">
        <f t="shared" ca="1" si="8"/>
        <v>19</v>
      </c>
      <c r="F24">
        <f t="shared" ca="1" si="8"/>
        <v>25</v>
      </c>
      <c r="G24">
        <f t="shared" ca="1" si="8"/>
        <v>25</v>
      </c>
      <c r="H24">
        <f t="shared" ca="1" si="8"/>
        <v>20</v>
      </c>
      <c r="I24">
        <f t="shared" ca="1" si="8"/>
        <v>20</v>
      </c>
      <c r="J24">
        <f t="shared" ca="1" si="8"/>
        <v>22</v>
      </c>
      <c r="K24">
        <f t="shared" ca="1" si="8"/>
        <v>18</v>
      </c>
      <c r="L24">
        <f t="shared" ca="1" si="8"/>
        <v>19</v>
      </c>
      <c r="N24" s="1">
        <f ca="1">AVERAGE(B24:L24)</f>
        <v>20.727272727272727</v>
      </c>
      <c r="P24" t="s">
        <v>29</v>
      </c>
      <c r="Q24" s="6">
        <v>38807</v>
      </c>
    </row>
    <row r="25" spans="1:20" x14ac:dyDescent="0.3">
      <c r="P25" t="s">
        <v>28</v>
      </c>
      <c r="Q25" s="6">
        <v>38742</v>
      </c>
    </row>
    <row r="26" spans="1:20" x14ac:dyDescent="0.3">
      <c r="A26" t="s">
        <v>222</v>
      </c>
      <c r="B26" t="s">
        <v>13</v>
      </c>
      <c r="C26" t="s">
        <v>28</v>
      </c>
      <c r="D26" t="s">
        <v>10</v>
      </c>
      <c r="E26" t="s">
        <v>14</v>
      </c>
      <c r="F26" t="s">
        <v>12</v>
      </c>
      <c r="G26" t="s">
        <v>11</v>
      </c>
      <c r="H26" t="s">
        <v>197</v>
      </c>
      <c r="I26" t="s">
        <v>29</v>
      </c>
      <c r="J26" t="s">
        <v>78</v>
      </c>
      <c r="K26" t="s">
        <v>20</v>
      </c>
      <c r="L26" t="s">
        <v>17</v>
      </c>
      <c r="P26" t="s">
        <v>78</v>
      </c>
      <c r="Q26" s="6">
        <v>37974</v>
      </c>
    </row>
    <row r="27" spans="1:20" x14ac:dyDescent="0.3">
      <c r="B27">
        <f ca="1">DATEDIF(VLOOKUP(B26,$P$18:$Q$100,2,FALSE),TODAY(),"Y")</f>
        <v>20</v>
      </c>
      <c r="C27">
        <f t="shared" ref="C27:L27" ca="1" si="9">DATEDIF(VLOOKUP(C26,$P$18:$Q$100,2,FALSE),TODAY(),"Y")</f>
        <v>20</v>
      </c>
      <c r="D27">
        <f t="shared" ca="1" si="9"/>
        <v>20</v>
      </c>
      <c r="E27">
        <f t="shared" ca="1" si="9"/>
        <v>19</v>
      </c>
      <c r="F27">
        <f t="shared" ca="1" si="9"/>
        <v>25</v>
      </c>
      <c r="G27">
        <f t="shared" ca="1" si="9"/>
        <v>25</v>
      </c>
      <c r="H27">
        <f t="shared" ca="1" si="9"/>
        <v>20</v>
      </c>
      <c r="I27">
        <f t="shared" ca="1" si="9"/>
        <v>20</v>
      </c>
      <c r="J27">
        <f t="shared" ca="1" si="9"/>
        <v>22</v>
      </c>
      <c r="K27">
        <f t="shared" ca="1" si="9"/>
        <v>21</v>
      </c>
      <c r="L27">
        <f t="shared" ca="1" si="9"/>
        <v>19</v>
      </c>
      <c r="N27" s="1">
        <f ca="1">AVERAGE(B27:L27)</f>
        <v>21</v>
      </c>
      <c r="P27" t="s">
        <v>95</v>
      </c>
      <c r="Q27" s="6">
        <v>38149</v>
      </c>
    </row>
    <row r="28" spans="1:20" x14ac:dyDescent="0.3">
      <c r="P28" t="s">
        <v>96</v>
      </c>
      <c r="Q28" s="6">
        <v>39101</v>
      </c>
    </row>
    <row r="29" spans="1:20" x14ac:dyDescent="0.3">
      <c r="A29" t="s">
        <v>228</v>
      </c>
      <c r="B29" t="s">
        <v>13</v>
      </c>
      <c r="C29" t="s">
        <v>238</v>
      </c>
      <c r="D29" t="s">
        <v>10</v>
      </c>
      <c r="E29" t="s">
        <v>14</v>
      </c>
      <c r="F29" t="s">
        <v>12</v>
      </c>
      <c r="G29" t="s">
        <v>193</v>
      </c>
      <c r="H29" t="s">
        <v>197</v>
      </c>
      <c r="I29" t="s">
        <v>29</v>
      </c>
      <c r="J29" t="s">
        <v>78</v>
      </c>
      <c r="K29" t="s">
        <v>20</v>
      </c>
      <c r="L29" t="s">
        <v>17</v>
      </c>
      <c r="P29" t="s">
        <v>111</v>
      </c>
      <c r="Q29" s="6">
        <v>38051</v>
      </c>
    </row>
    <row r="30" spans="1:20" x14ac:dyDescent="0.3">
      <c r="B30">
        <f ca="1">DATEDIF(VLOOKUP(B29,$P$18:$Q$100,2,FALSE),TODAY(),"Y")</f>
        <v>20</v>
      </c>
      <c r="C30">
        <f t="shared" ref="C30:L30" ca="1" si="10">DATEDIF(VLOOKUP(C29,$P$18:$Q$100,2,FALSE),TODAY(),"Y")</f>
        <v>20</v>
      </c>
      <c r="D30">
        <f t="shared" ca="1" si="10"/>
        <v>20</v>
      </c>
      <c r="E30">
        <f t="shared" ca="1" si="10"/>
        <v>19</v>
      </c>
      <c r="F30">
        <f t="shared" ca="1" si="10"/>
        <v>25</v>
      </c>
      <c r="G30">
        <f t="shared" ca="1" si="10"/>
        <v>21</v>
      </c>
      <c r="H30">
        <f t="shared" ca="1" si="10"/>
        <v>20</v>
      </c>
      <c r="I30">
        <f t="shared" ca="1" si="10"/>
        <v>20</v>
      </c>
      <c r="J30">
        <f t="shared" ca="1" si="10"/>
        <v>22</v>
      </c>
      <c r="K30">
        <f t="shared" ca="1" si="10"/>
        <v>21</v>
      </c>
      <c r="L30">
        <f t="shared" ca="1" si="10"/>
        <v>19</v>
      </c>
      <c r="N30" s="1">
        <f ca="1">AVERAGE(B30:L30)</f>
        <v>20.636363636363637</v>
      </c>
      <c r="P30" t="s">
        <v>170</v>
      </c>
      <c r="Q30" s="6">
        <v>39287</v>
      </c>
    </row>
    <row r="31" spans="1:20" x14ac:dyDescent="0.3">
      <c r="P31" t="s">
        <v>13</v>
      </c>
      <c r="Q31" s="6">
        <v>38595</v>
      </c>
    </row>
    <row r="32" spans="1:20" x14ac:dyDescent="0.3">
      <c r="A32" t="s">
        <v>229</v>
      </c>
      <c r="B32" t="s">
        <v>13</v>
      </c>
      <c r="C32" t="s">
        <v>28</v>
      </c>
      <c r="D32" t="s">
        <v>10</v>
      </c>
      <c r="E32" t="s">
        <v>239</v>
      </c>
      <c r="F32" t="s">
        <v>12</v>
      </c>
      <c r="G32" t="s">
        <v>11</v>
      </c>
      <c r="H32" t="s">
        <v>197</v>
      </c>
      <c r="I32" t="s">
        <v>29</v>
      </c>
      <c r="J32" t="s">
        <v>78</v>
      </c>
      <c r="K32" t="s">
        <v>20</v>
      </c>
      <c r="L32" t="s">
        <v>17</v>
      </c>
      <c r="P32" t="s">
        <v>175</v>
      </c>
      <c r="Q32" s="6">
        <v>38141</v>
      </c>
    </row>
    <row r="33" spans="1:17" x14ac:dyDescent="0.3">
      <c r="B33">
        <f ca="1">DATEDIF(VLOOKUP(B32,$P$18:$Q$100,2,FALSE),TODAY(),"Y")</f>
        <v>20</v>
      </c>
      <c r="C33">
        <f t="shared" ref="C33:L33" ca="1" si="11">DATEDIF(VLOOKUP(C32,$P$18:$Q$100,2,FALSE),TODAY(),"Y")</f>
        <v>20</v>
      </c>
      <c r="D33">
        <f t="shared" ca="1" si="11"/>
        <v>20</v>
      </c>
      <c r="E33">
        <f t="shared" ca="1" si="11"/>
        <v>20</v>
      </c>
      <c r="F33">
        <f t="shared" ca="1" si="11"/>
        <v>25</v>
      </c>
      <c r="G33">
        <f t="shared" ca="1" si="11"/>
        <v>25</v>
      </c>
      <c r="H33">
        <f t="shared" ca="1" si="11"/>
        <v>20</v>
      </c>
      <c r="I33">
        <f t="shared" ca="1" si="11"/>
        <v>20</v>
      </c>
      <c r="J33">
        <f t="shared" ca="1" si="11"/>
        <v>22</v>
      </c>
      <c r="K33">
        <f t="shared" ca="1" si="11"/>
        <v>21</v>
      </c>
      <c r="L33">
        <f t="shared" ca="1" si="11"/>
        <v>19</v>
      </c>
      <c r="N33" s="1">
        <f ca="1">AVERAGE(B33:L33)</f>
        <v>21.09090909090909</v>
      </c>
      <c r="P33" t="s">
        <v>176</v>
      </c>
      <c r="Q33" s="6">
        <v>38563</v>
      </c>
    </row>
    <row r="34" spans="1:17" x14ac:dyDescent="0.3">
      <c r="P34" t="s">
        <v>192</v>
      </c>
      <c r="Q34" s="6">
        <v>39028</v>
      </c>
    </row>
    <row r="35" spans="1:17" x14ac:dyDescent="0.3">
      <c r="A35" t="s">
        <v>4</v>
      </c>
      <c r="B35" t="s">
        <v>13</v>
      </c>
      <c r="C35" t="s">
        <v>20</v>
      </c>
      <c r="D35" t="s">
        <v>10</v>
      </c>
      <c r="E35" t="s">
        <v>197</v>
      </c>
      <c r="F35" t="s">
        <v>12</v>
      </c>
      <c r="G35" t="s">
        <v>238</v>
      </c>
      <c r="H35" t="s">
        <v>250</v>
      </c>
      <c r="I35" t="s">
        <v>29</v>
      </c>
      <c r="J35" t="s">
        <v>78</v>
      </c>
      <c r="K35" t="s">
        <v>193</v>
      </c>
      <c r="L35" t="s">
        <v>17</v>
      </c>
      <c r="P35" t="s">
        <v>193</v>
      </c>
      <c r="Q35" s="6">
        <v>38357</v>
      </c>
    </row>
    <row r="36" spans="1:17" x14ac:dyDescent="0.3">
      <c r="B36">
        <f ca="1">DATEDIF(VLOOKUP(B35,$P$18:$Q$100,2,FALSE),TODAY(),"Y")</f>
        <v>20</v>
      </c>
      <c r="C36">
        <f t="shared" ref="C36:L36" ca="1" si="12">DATEDIF(VLOOKUP(C35,$P$18:$Q$100,2,FALSE),TODAY(),"Y")</f>
        <v>21</v>
      </c>
      <c r="D36">
        <f t="shared" ca="1" si="12"/>
        <v>20</v>
      </c>
      <c r="E36">
        <f t="shared" ca="1" si="12"/>
        <v>20</v>
      </c>
      <c r="F36">
        <f t="shared" ca="1" si="12"/>
        <v>25</v>
      </c>
      <c r="G36">
        <f t="shared" ca="1" si="12"/>
        <v>20</v>
      </c>
      <c r="H36">
        <f t="shared" ca="1" si="12"/>
        <v>19</v>
      </c>
      <c r="I36">
        <f t="shared" ca="1" si="12"/>
        <v>20</v>
      </c>
      <c r="J36">
        <f t="shared" ca="1" si="12"/>
        <v>22</v>
      </c>
      <c r="K36">
        <f t="shared" ca="1" si="12"/>
        <v>21</v>
      </c>
      <c r="L36">
        <f t="shared" ca="1" si="12"/>
        <v>19</v>
      </c>
      <c r="N36" s="1">
        <f ca="1">AVERAGE(B36:L36)</f>
        <v>20.636363636363637</v>
      </c>
      <c r="P36" t="s">
        <v>197</v>
      </c>
      <c r="Q36" s="6">
        <v>38587</v>
      </c>
    </row>
    <row r="37" spans="1:17" x14ac:dyDescent="0.3">
      <c r="P37" t="s">
        <v>196</v>
      </c>
      <c r="Q37" s="6">
        <v>39590</v>
      </c>
    </row>
    <row r="38" spans="1:17" x14ac:dyDescent="0.3">
      <c r="A38" t="s">
        <v>84</v>
      </c>
      <c r="B38" t="s">
        <v>13</v>
      </c>
      <c r="C38" t="s">
        <v>111</v>
      </c>
      <c r="D38" t="s">
        <v>10</v>
      </c>
      <c r="E38" t="s">
        <v>197</v>
      </c>
      <c r="F38" t="s">
        <v>11</v>
      </c>
      <c r="G38" t="s">
        <v>238</v>
      </c>
      <c r="H38" t="s">
        <v>250</v>
      </c>
      <c r="I38" t="s">
        <v>29</v>
      </c>
      <c r="J38" t="s">
        <v>78</v>
      </c>
      <c r="K38" t="s">
        <v>193</v>
      </c>
      <c r="L38" t="s">
        <v>17</v>
      </c>
      <c r="P38" t="s">
        <v>220</v>
      </c>
      <c r="Q38" s="6">
        <v>38719</v>
      </c>
    </row>
    <row r="39" spans="1:17" x14ac:dyDescent="0.3">
      <c r="B39">
        <f ca="1">DATEDIF(VLOOKUP(B38,$P$18:$Q$100,2,FALSE),TODAY(),"Y")</f>
        <v>20</v>
      </c>
      <c r="C39">
        <f t="shared" ref="C39:L39" ca="1" si="13">DATEDIF(VLOOKUP(C38,$P$18:$Q$100,2,FALSE),TODAY(),"Y")</f>
        <v>22</v>
      </c>
      <c r="D39">
        <f t="shared" ca="1" si="13"/>
        <v>20</v>
      </c>
      <c r="E39">
        <f t="shared" ca="1" si="13"/>
        <v>20</v>
      </c>
      <c r="F39">
        <f t="shared" ca="1" si="13"/>
        <v>25</v>
      </c>
      <c r="G39">
        <f t="shared" ca="1" si="13"/>
        <v>20</v>
      </c>
      <c r="H39">
        <f t="shared" ca="1" si="13"/>
        <v>19</v>
      </c>
      <c r="I39">
        <f t="shared" ca="1" si="13"/>
        <v>20</v>
      </c>
      <c r="J39">
        <f t="shared" ca="1" si="13"/>
        <v>22</v>
      </c>
      <c r="K39">
        <f t="shared" ca="1" si="13"/>
        <v>21</v>
      </c>
      <c r="L39">
        <f t="shared" ca="1" si="13"/>
        <v>19</v>
      </c>
      <c r="N39" s="1">
        <f ca="1">AVERAGE(B39:L39)</f>
        <v>20.727272727272727</v>
      </c>
      <c r="P39" t="s">
        <v>20</v>
      </c>
      <c r="Q39" s="6">
        <v>38362</v>
      </c>
    </row>
    <row r="40" spans="1:17" x14ac:dyDescent="0.3">
      <c r="P40" t="s">
        <v>238</v>
      </c>
      <c r="Q40" s="6">
        <v>38650</v>
      </c>
    </row>
    <row r="41" spans="1:17" x14ac:dyDescent="0.3">
      <c r="A41" t="s">
        <v>194</v>
      </c>
      <c r="B41" t="s">
        <v>9</v>
      </c>
      <c r="C41" t="s">
        <v>20</v>
      </c>
      <c r="D41" t="s">
        <v>10</v>
      </c>
      <c r="E41" t="s">
        <v>197</v>
      </c>
      <c r="F41" t="s">
        <v>11</v>
      </c>
      <c r="G41" t="s">
        <v>238</v>
      </c>
      <c r="H41" t="s">
        <v>250</v>
      </c>
      <c r="I41" t="s">
        <v>29</v>
      </c>
      <c r="J41" t="s">
        <v>254</v>
      </c>
      <c r="K41" t="s">
        <v>193</v>
      </c>
      <c r="L41" t="s">
        <v>17</v>
      </c>
      <c r="P41" t="s">
        <v>239</v>
      </c>
      <c r="Q41" s="6">
        <v>38829</v>
      </c>
    </row>
    <row r="42" spans="1:17" x14ac:dyDescent="0.3">
      <c r="B42">
        <f ca="1">DATEDIF(VLOOKUP(B41,$P$18:$Q$100,2,FALSE),TODAY(),"Y")</f>
        <v>24</v>
      </c>
      <c r="C42">
        <f t="shared" ref="C42:L42" ca="1" si="14">DATEDIF(VLOOKUP(C41,$P$18:$Q$100,2,FALSE),TODAY(),"Y")</f>
        <v>21</v>
      </c>
      <c r="D42">
        <f t="shared" ca="1" si="14"/>
        <v>20</v>
      </c>
      <c r="E42">
        <f t="shared" ca="1" si="14"/>
        <v>20</v>
      </c>
      <c r="F42">
        <f t="shared" ca="1" si="14"/>
        <v>25</v>
      </c>
      <c r="G42">
        <f t="shared" ca="1" si="14"/>
        <v>20</v>
      </c>
      <c r="H42">
        <f t="shared" ca="1" si="14"/>
        <v>19</v>
      </c>
      <c r="I42">
        <f t="shared" ca="1" si="14"/>
        <v>20</v>
      </c>
      <c r="J42">
        <f t="shared" ca="1" si="14"/>
        <v>21</v>
      </c>
      <c r="K42">
        <f t="shared" ca="1" si="14"/>
        <v>21</v>
      </c>
      <c r="L42">
        <f t="shared" ca="1" si="14"/>
        <v>19</v>
      </c>
      <c r="N42" s="1">
        <f ca="1">AVERAGE(B42:L42)</f>
        <v>20.90909090909091</v>
      </c>
      <c r="P42" t="s">
        <v>250</v>
      </c>
      <c r="Q42" s="6">
        <v>39108</v>
      </c>
    </row>
    <row r="43" spans="1:17" x14ac:dyDescent="0.3">
      <c r="P43" t="s">
        <v>254</v>
      </c>
      <c r="Q43" s="6">
        <v>38417</v>
      </c>
    </row>
    <row r="44" spans="1:17" x14ac:dyDescent="0.3">
      <c r="A44" t="s">
        <v>164</v>
      </c>
      <c r="B44" t="s">
        <v>9</v>
      </c>
      <c r="C44" t="s">
        <v>20</v>
      </c>
      <c r="D44" t="s">
        <v>10</v>
      </c>
      <c r="E44" t="s">
        <v>265</v>
      </c>
      <c r="F44" t="s">
        <v>11</v>
      </c>
      <c r="G44" t="s">
        <v>238</v>
      </c>
      <c r="H44" t="s">
        <v>266</v>
      </c>
      <c r="I44" t="s">
        <v>29</v>
      </c>
      <c r="J44" t="s">
        <v>250</v>
      </c>
      <c r="K44" t="s">
        <v>193</v>
      </c>
      <c r="L44" t="s">
        <v>17</v>
      </c>
      <c r="P44" t="s">
        <v>265</v>
      </c>
      <c r="Q44" s="6">
        <v>38342</v>
      </c>
    </row>
    <row r="45" spans="1:17" x14ac:dyDescent="0.3">
      <c r="B45">
        <f ca="1">DATEDIF(VLOOKUP(B44,$P$18:$Q$100,2,FALSE),TODAY(),"Y")</f>
        <v>24</v>
      </c>
      <c r="C45">
        <f t="shared" ref="C45:L45" ca="1" si="15">DATEDIF(VLOOKUP(C44,$P$18:$Q$100,2,FALSE),TODAY(),"Y")</f>
        <v>21</v>
      </c>
      <c r="D45">
        <f t="shared" ca="1" si="15"/>
        <v>20</v>
      </c>
      <c r="E45">
        <f t="shared" ca="1" si="15"/>
        <v>21</v>
      </c>
      <c r="F45">
        <f t="shared" ca="1" si="15"/>
        <v>25</v>
      </c>
      <c r="G45">
        <f t="shared" ca="1" si="15"/>
        <v>20</v>
      </c>
      <c r="H45">
        <f t="shared" ca="1" si="15"/>
        <v>22</v>
      </c>
      <c r="I45">
        <f t="shared" ca="1" si="15"/>
        <v>20</v>
      </c>
      <c r="J45">
        <f t="shared" ca="1" si="15"/>
        <v>19</v>
      </c>
      <c r="K45">
        <f t="shared" ca="1" si="15"/>
        <v>21</v>
      </c>
      <c r="L45">
        <f t="shared" ca="1" si="15"/>
        <v>19</v>
      </c>
      <c r="N45" s="1">
        <f ca="1">AVERAGE(B45:L45)</f>
        <v>21.09090909090909</v>
      </c>
      <c r="P45" t="s">
        <v>266</v>
      </c>
      <c r="Q45" s="6">
        <v>37955</v>
      </c>
    </row>
    <row r="46" spans="1:17" x14ac:dyDescent="0.3">
      <c r="P46" t="s">
        <v>296</v>
      </c>
      <c r="Q46" s="6">
        <v>39276</v>
      </c>
    </row>
    <row r="47" spans="1:17" x14ac:dyDescent="0.3">
      <c r="A47" t="s">
        <v>15</v>
      </c>
      <c r="B47" t="s">
        <v>9</v>
      </c>
      <c r="C47" t="s">
        <v>111</v>
      </c>
      <c r="D47" t="s">
        <v>10</v>
      </c>
      <c r="E47" t="s">
        <v>265</v>
      </c>
      <c r="F47" t="s">
        <v>11</v>
      </c>
      <c r="G47" t="s">
        <v>238</v>
      </c>
      <c r="H47" t="s">
        <v>14</v>
      </c>
      <c r="I47" t="s">
        <v>95</v>
      </c>
      <c r="J47" t="s">
        <v>12</v>
      </c>
      <c r="K47" t="s">
        <v>96</v>
      </c>
      <c r="L47" t="s">
        <v>170</v>
      </c>
      <c r="P47" t="s">
        <v>184</v>
      </c>
      <c r="Q47" s="6">
        <v>36921</v>
      </c>
    </row>
    <row r="48" spans="1:17" x14ac:dyDescent="0.3">
      <c r="B48">
        <f ca="1">DATEDIF(VLOOKUP(B47,$P$18:$Q$100,2,FALSE),TODAY(),"Y")</f>
        <v>24</v>
      </c>
      <c r="C48">
        <f t="shared" ref="C48:L48" ca="1" si="16">DATEDIF(VLOOKUP(C47,$P$18:$Q$100,2,FALSE),TODAY(),"Y")</f>
        <v>22</v>
      </c>
      <c r="D48">
        <f t="shared" ca="1" si="16"/>
        <v>20</v>
      </c>
      <c r="E48">
        <f t="shared" ca="1" si="16"/>
        <v>21</v>
      </c>
      <c r="F48">
        <f t="shared" ca="1" si="16"/>
        <v>25</v>
      </c>
      <c r="G48">
        <f t="shared" ca="1" si="16"/>
        <v>20</v>
      </c>
      <c r="H48">
        <f t="shared" ca="1" si="16"/>
        <v>19</v>
      </c>
      <c r="I48">
        <f t="shared" ca="1" si="16"/>
        <v>21</v>
      </c>
      <c r="J48">
        <f t="shared" ca="1" si="16"/>
        <v>25</v>
      </c>
      <c r="K48">
        <f t="shared" ca="1" si="16"/>
        <v>19</v>
      </c>
      <c r="L48">
        <f t="shared" ca="1" si="16"/>
        <v>18</v>
      </c>
      <c r="N48" s="1">
        <f ca="1">AVERAGE(B48:L48)</f>
        <v>21.272727272727273</v>
      </c>
      <c r="P48" t="s">
        <v>305</v>
      </c>
      <c r="Q48" s="6">
        <v>38795</v>
      </c>
    </row>
    <row r="49" spans="1:17" x14ac:dyDescent="0.3">
      <c r="P49" t="s">
        <v>313</v>
      </c>
      <c r="Q49" s="6">
        <v>38708</v>
      </c>
    </row>
    <row r="50" spans="1:17" x14ac:dyDescent="0.3">
      <c r="A50" t="s">
        <v>112</v>
      </c>
      <c r="B50" t="s">
        <v>9</v>
      </c>
      <c r="C50" t="s">
        <v>111</v>
      </c>
      <c r="D50" t="s">
        <v>10</v>
      </c>
      <c r="E50" t="s">
        <v>265</v>
      </c>
      <c r="F50" t="s">
        <v>296</v>
      </c>
      <c r="G50" t="s">
        <v>238</v>
      </c>
      <c r="H50" t="s">
        <v>14</v>
      </c>
      <c r="I50" t="s">
        <v>95</v>
      </c>
      <c r="J50" t="s">
        <v>12</v>
      </c>
      <c r="K50" t="s">
        <v>96</v>
      </c>
      <c r="L50" t="s">
        <v>170</v>
      </c>
      <c r="P50" t="s">
        <v>314</v>
      </c>
      <c r="Q50" s="6">
        <v>39042</v>
      </c>
    </row>
    <row r="51" spans="1:17" x14ac:dyDescent="0.3">
      <c r="B51">
        <f ca="1">DATEDIF(VLOOKUP(B50,$P$18:$Q$100,2,FALSE),TODAY(),"Y")</f>
        <v>24</v>
      </c>
      <c r="C51">
        <f t="shared" ref="C51:L51" ca="1" si="17">DATEDIF(VLOOKUP(C50,$P$18:$Q$100,2,FALSE),TODAY(),"Y")</f>
        <v>22</v>
      </c>
      <c r="D51">
        <f t="shared" ca="1" si="17"/>
        <v>20</v>
      </c>
      <c r="E51">
        <f t="shared" ca="1" si="17"/>
        <v>21</v>
      </c>
      <c r="F51">
        <f t="shared" ca="1" si="17"/>
        <v>18</v>
      </c>
      <c r="G51">
        <f t="shared" ca="1" si="17"/>
        <v>20</v>
      </c>
      <c r="H51">
        <f t="shared" ca="1" si="17"/>
        <v>19</v>
      </c>
      <c r="I51">
        <f t="shared" ca="1" si="17"/>
        <v>21</v>
      </c>
      <c r="J51">
        <f t="shared" ca="1" si="17"/>
        <v>25</v>
      </c>
      <c r="K51">
        <f t="shared" ca="1" si="17"/>
        <v>19</v>
      </c>
      <c r="L51">
        <f t="shared" ca="1" si="17"/>
        <v>18</v>
      </c>
      <c r="N51" s="1">
        <f ca="1">AVERAGE(B51:L51)</f>
        <v>20.636363636363637</v>
      </c>
    </row>
    <row r="53" spans="1:17" x14ac:dyDescent="0.3">
      <c r="A53" t="s">
        <v>33</v>
      </c>
      <c r="B53" t="s">
        <v>9</v>
      </c>
      <c r="C53" t="s">
        <v>192</v>
      </c>
      <c r="D53" t="s">
        <v>10</v>
      </c>
      <c r="E53" t="s">
        <v>265</v>
      </c>
      <c r="F53" t="s">
        <v>305</v>
      </c>
      <c r="G53" t="s">
        <v>184</v>
      </c>
      <c r="H53" t="s">
        <v>14</v>
      </c>
      <c r="I53" t="s">
        <v>95</v>
      </c>
      <c r="J53" t="s">
        <v>12</v>
      </c>
      <c r="K53" t="s">
        <v>193</v>
      </c>
      <c r="L53" t="s">
        <v>170</v>
      </c>
    </row>
    <row r="54" spans="1:17" x14ac:dyDescent="0.3">
      <c r="B54">
        <f ca="1">DATEDIF(VLOOKUP(B53,$P$18:$Q$100,2,FALSE),TODAY(),"Y")</f>
        <v>24</v>
      </c>
      <c r="C54">
        <f t="shared" ref="C54:L54" ca="1" si="18">DATEDIF(VLOOKUP(C53,$P$18:$Q$100,2,FALSE),TODAY(),"Y")</f>
        <v>19</v>
      </c>
      <c r="D54">
        <f t="shared" ca="1" si="18"/>
        <v>20</v>
      </c>
      <c r="E54">
        <f t="shared" ca="1" si="18"/>
        <v>21</v>
      </c>
      <c r="F54">
        <f t="shared" ca="1" si="18"/>
        <v>20</v>
      </c>
      <c r="G54">
        <f t="shared" ca="1" si="18"/>
        <v>25</v>
      </c>
      <c r="H54">
        <f t="shared" ca="1" si="18"/>
        <v>19</v>
      </c>
      <c r="I54">
        <f t="shared" ca="1" si="18"/>
        <v>21</v>
      </c>
      <c r="J54">
        <f t="shared" ca="1" si="18"/>
        <v>25</v>
      </c>
      <c r="K54">
        <f t="shared" ca="1" si="18"/>
        <v>21</v>
      </c>
      <c r="L54">
        <f t="shared" ca="1" si="18"/>
        <v>18</v>
      </c>
      <c r="N54" s="1">
        <f ca="1">AVERAGE(B54:L54)</f>
        <v>21.181818181818183</v>
      </c>
    </row>
    <row r="56" spans="1:17" x14ac:dyDescent="0.3">
      <c r="A56" t="s">
        <v>102</v>
      </c>
      <c r="B56" t="s">
        <v>9</v>
      </c>
      <c r="C56" t="s">
        <v>111</v>
      </c>
      <c r="D56" t="s">
        <v>10</v>
      </c>
      <c r="E56" t="s">
        <v>265</v>
      </c>
      <c r="F56" t="s">
        <v>28</v>
      </c>
      <c r="G56" t="s">
        <v>11</v>
      </c>
      <c r="H56" t="s">
        <v>175</v>
      </c>
      <c r="I56" t="s">
        <v>95</v>
      </c>
      <c r="J56" t="s">
        <v>12</v>
      </c>
      <c r="K56" t="s">
        <v>250</v>
      </c>
      <c r="L56" t="s">
        <v>170</v>
      </c>
    </row>
    <row r="57" spans="1:17" x14ac:dyDescent="0.3">
      <c r="B57">
        <f ca="1">DATEDIF(VLOOKUP(B56,$P$18:$Q$100,2,FALSE),TODAY(),"Y")</f>
        <v>24</v>
      </c>
      <c r="C57">
        <f t="shared" ref="C57:L57" ca="1" si="19">DATEDIF(VLOOKUP(C56,$P$18:$Q$100,2,FALSE),TODAY(),"Y")</f>
        <v>22</v>
      </c>
      <c r="D57">
        <f t="shared" ca="1" si="19"/>
        <v>20</v>
      </c>
      <c r="E57">
        <f t="shared" ca="1" si="19"/>
        <v>21</v>
      </c>
      <c r="F57">
        <f t="shared" ca="1" si="19"/>
        <v>20</v>
      </c>
      <c r="G57">
        <f t="shared" ca="1" si="19"/>
        <v>25</v>
      </c>
      <c r="H57">
        <f t="shared" ca="1" si="19"/>
        <v>21</v>
      </c>
      <c r="I57">
        <f t="shared" ca="1" si="19"/>
        <v>21</v>
      </c>
      <c r="J57">
        <f t="shared" ca="1" si="19"/>
        <v>25</v>
      </c>
      <c r="K57">
        <f t="shared" ca="1" si="19"/>
        <v>19</v>
      </c>
      <c r="L57">
        <f t="shared" ca="1" si="19"/>
        <v>18</v>
      </c>
      <c r="N57" s="1">
        <f ca="1">AVERAGE(B57:L57)</f>
        <v>21.454545454545453</v>
      </c>
    </row>
    <row r="59" spans="1:17" x14ac:dyDescent="0.3">
      <c r="A59" t="s">
        <v>149</v>
      </c>
      <c r="B59" t="s">
        <v>13</v>
      </c>
      <c r="C59" t="s">
        <v>111</v>
      </c>
      <c r="D59" t="s">
        <v>10</v>
      </c>
      <c r="E59" t="s">
        <v>266</v>
      </c>
      <c r="F59" t="s">
        <v>28</v>
      </c>
      <c r="G59" t="s">
        <v>11</v>
      </c>
      <c r="H59" t="s">
        <v>175</v>
      </c>
      <c r="I59" t="s">
        <v>96</v>
      </c>
      <c r="J59" t="s">
        <v>12</v>
      </c>
      <c r="K59" t="s">
        <v>313</v>
      </c>
      <c r="L59" t="s">
        <v>314</v>
      </c>
    </row>
    <row r="60" spans="1:17" x14ac:dyDescent="0.3">
      <c r="B60">
        <f ca="1">DATEDIF(VLOOKUP(B59,$P$18:$Q$100,2,FALSE),TODAY(),"Y")</f>
        <v>20</v>
      </c>
      <c r="C60">
        <f t="shared" ref="C60:L60" ca="1" si="20">DATEDIF(VLOOKUP(C59,$P$18:$Q$100,2,FALSE),TODAY(),"Y")</f>
        <v>22</v>
      </c>
      <c r="D60">
        <f t="shared" ca="1" si="20"/>
        <v>20</v>
      </c>
      <c r="E60">
        <f t="shared" ca="1" si="20"/>
        <v>22</v>
      </c>
      <c r="F60">
        <f t="shared" ca="1" si="20"/>
        <v>20</v>
      </c>
      <c r="G60">
        <f t="shared" ca="1" si="20"/>
        <v>25</v>
      </c>
      <c r="H60">
        <f t="shared" ca="1" si="20"/>
        <v>21</v>
      </c>
      <c r="I60">
        <f t="shared" ca="1" si="20"/>
        <v>19</v>
      </c>
      <c r="J60">
        <f t="shared" ca="1" si="20"/>
        <v>25</v>
      </c>
      <c r="K60">
        <f t="shared" ca="1" si="20"/>
        <v>20</v>
      </c>
      <c r="L60">
        <f t="shared" ca="1" si="20"/>
        <v>19</v>
      </c>
      <c r="N60" s="1">
        <f ca="1">AVERAGE(B60:L60)</f>
        <v>21.181818181818183</v>
      </c>
    </row>
    <row r="62" spans="1:17" x14ac:dyDescent="0.3">
      <c r="A62" t="s">
        <v>166</v>
      </c>
      <c r="B62" t="s">
        <v>9</v>
      </c>
      <c r="C62" t="s">
        <v>305</v>
      </c>
      <c r="D62" t="s">
        <v>10</v>
      </c>
      <c r="E62" t="s">
        <v>266</v>
      </c>
      <c r="F62" t="s">
        <v>96</v>
      </c>
      <c r="G62" t="s">
        <v>11</v>
      </c>
      <c r="H62" t="s">
        <v>175</v>
      </c>
      <c r="I62" t="s">
        <v>192</v>
      </c>
      <c r="J62" t="s">
        <v>95</v>
      </c>
      <c r="K62" t="s">
        <v>313</v>
      </c>
      <c r="L62" t="s">
        <v>193</v>
      </c>
    </row>
    <row r="63" spans="1:17" x14ac:dyDescent="0.3">
      <c r="B63">
        <f ca="1">DATEDIF(VLOOKUP(B62,$P$18:$Q$100,2,FALSE),TODAY(),"Y")</f>
        <v>24</v>
      </c>
      <c r="C63">
        <f t="shared" ref="C63:L63" ca="1" si="21">DATEDIF(VLOOKUP(C62,$P$18:$Q$100,2,FALSE),TODAY(),"Y")</f>
        <v>20</v>
      </c>
      <c r="D63">
        <f t="shared" ca="1" si="21"/>
        <v>20</v>
      </c>
      <c r="E63">
        <f t="shared" ca="1" si="21"/>
        <v>22</v>
      </c>
      <c r="F63">
        <f t="shared" ca="1" si="21"/>
        <v>19</v>
      </c>
      <c r="G63">
        <f t="shared" ca="1" si="21"/>
        <v>25</v>
      </c>
      <c r="H63">
        <f t="shared" ca="1" si="21"/>
        <v>21</v>
      </c>
      <c r="I63">
        <f t="shared" ca="1" si="21"/>
        <v>19</v>
      </c>
      <c r="J63">
        <f t="shared" ca="1" si="21"/>
        <v>21</v>
      </c>
      <c r="K63">
        <f t="shared" ca="1" si="21"/>
        <v>20</v>
      </c>
      <c r="L63">
        <f t="shared" ca="1" si="21"/>
        <v>21</v>
      </c>
      <c r="N63" s="1">
        <f ca="1">AVERAGE(B63:L63)</f>
        <v>21.09090909090909</v>
      </c>
    </row>
    <row r="65" spans="1:14" x14ac:dyDescent="0.3">
      <c r="A65" t="s">
        <v>174</v>
      </c>
      <c r="B65" t="s">
        <v>9</v>
      </c>
      <c r="C65" t="s">
        <v>238</v>
      </c>
      <c r="D65" t="s">
        <v>10</v>
      </c>
      <c r="E65" t="s">
        <v>265</v>
      </c>
      <c r="F65" t="s">
        <v>28</v>
      </c>
      <c r="G65" t="s">
        <v>12</v>
      </c>
      <c r="H65" t="s">
        <v>184</v>
      </c>
      <c r="I65" t="s">
        <v>250</v>
      </c>
      <c r="J65" t="s">
        <v>95</v>
      </c>
      <c r="K65" t="s">
        <v>313</v>
      </c>
      <c r="L65" t="s">
        <v>193</v>
      </c>
    </row>
    <row r="66" spans="1:14" x14ac:dyDescent="0.3">
      <c r="B66">
        <f ca="1">DATEDIF(VLOOKUP(B65,$P$18:$Q$100,2,FALSE),TODAY(),"Y")</f>
        <v>24</v>
      </c>
      <c r="C66">
        <f t="shared" ref="C66:L66" ca="1" si="22">DATEDIF(VLOOKUP(C65,$P$18:$Q$100,2,FALSE),TODAY(),"Y")</f>
        <v>20</v>
      </c>
      <c r="D66">
        <f t="shared" ca="1" si="22"/>
        <v>20</v>
      </c>
      <c r="E66">
        <f t="shared" ca="1" si="22"/>
        <v>21</v>
      </c>
      <c r="F66">
        <f t="shared" ca="1" si="22"/>
        <v>20</v>
      </c>
      <c r="G66">
        <f t="shared" ca="1" si="22"/>
        <v>25</v>
      </c>
      <c r="H66">
        <f t="shared" ca="1" si="22"/>
        <v>25</v>
      </c>
      <c r="I66">
        <f t="shared" ca="1" si="22"/>
        <v>19</v>
      </c>
      <c r="J66">
        <f t="shared" ca="1" si="22"/>
        <v>21</v>
      </c>
      <c r="K66">
        <f t="shared" ca="1" si="22"/>
        <v>20</v>
      </c>
      <c r="L66">
        <f t="shared" ca="1" si="22"/>
        <v>21</v>
      </c>
      <c r="N66" s="1">
        <f ca="1">AVERAGE(B66:L66)</f>
        <v>21.454545454545453</v>
      </c>
    </row>
    <row r="68" spans="1:14" x14ac:dyDescent="0.3">
      <c r="A68" t="s">
        <v>191</v>
      </c>
      <c r="B68" t="s">
        <v>13</v>
      </c>
      <c r="C68" t="s">
        <v>238</v>
      </c>
      <c r="D68" t="s">
        <v>10</v>
      </c>
      <c r="E68" t="s">
        <v>265</v>
      </c>
      <c r="F68" t="s">
        <v>28</v>
      </c>
      <c r="G68" t="s">
        <v>12</v>
      </c>
      <c r="H68" t="s">
        <v>11</v>
      </c>
      <c r="I68" t="s">
        <v>250</v>
      </c>
      <c r="J68" t="s">
        <v>95</v>
      </c>
      <c r="K68" t="s">
        <v>111</v>
      </c>
      <c r="L68" t="s">
        <v>170</v>
      </c>
    </row>
    <row r="69" spans="1:14" x14ac:dyDescent="0.3">
      <c r="B69">
        <f ca="1">DATEDIF(VLOOKUP(B68,$P$18:$Q$100,2,FALSE),TODAY(),"Y")</f>
        <v>20</v>
      </c>
      <c r="C69">
        <f t="shared" ref="C69:L69" ca="1" si="23">DATEDIF(VLOOKUP(C68,$P$18:$Q$100,2,FALSE),TODAY(),"Y")</f>
        <v>20</v>
      </c>
      <c r="D69">
        <f t="shared" ca="1" si="23"/>
        <v>20</v>
      </c>
      <c r="E69">
        <f t="shared" ca="1" si="23"/>
        <v>21</v>
      </c>
      <c r="F69">
        <f t="shared" ca="1" si="23"/>
        <v>20</v>
      </c>
      <c r="G69">
        <f t="shared" ca="1" si="23"/>
        <v>25</v>
      </c>
      <c r="H69">
        <f t="shared" ca="1" si="23"/>
        <v>25</v>
      </c>
      <c r="I69">
        <f t="shared" ca="1" si="23"/>
        <v>19</v>
      </c>
      <c r="J69">
        <f t="shared" ca="1" si="23"/>
        <v>21</v>
      </c>
      <c r="K69">
        <f t="shared" ca="1" si="23"/>
        <v>22</v>
      </c>
      <c r="L69">
        <f t="shared" ca="1" si="23"/>
        <v>18</v>
      </c>
      <c r="N69" s="1">
        <f ca="1">AVERAGE(B69:L69)</f>
        <v>21</v>
      </c>
    </row>
    <row r="71" spans="1:14" x14ac:dyDescent="0.3">
      <c r="A71" t="s">
        <v>228</v>
      </c>
      <c r="B71" t="s">
        <v>13</v>
      </c>
      <c r="C71" t="s">
        <v>111</v>
      </c>
      <c r="D71" t="s">
        <v>265</v>
      </c>
      <c r="E71" t="s">
        <v>14</v>
      </c>
      <c r="F71" t="s">
        <v>28</v>
      </c>
      <c r="G71" t="s">
        <v>95</v>
      </c>
      <c r="H71" t="s">
        <v>12</v>
      </c>
      <c r="I71" t="s">
        <v>11</v>
      </c>
      <c r="J71" t="s">
        <v>313</v>
      </c>
      <c r="K71" t="s">
        <v>250</v>
      </c>
      <c r="L71" t="s">
        <v>170</v>
      </c>
    </row>
    <row r="72" spans="1:14" x14ac:dyDescent="0.3">
      <c r="B72">
        <f ca="1">DATEDIF(VLOOKUP(B71,$P$18:$Q$100,2,FALSE),TODAY(),"Y")</f>
        <v>20</v>
      </c>
      <c r="C72">
        <f t="shared" ref="C72:L72" ca="1" si="24">DATEDIF(VLOOKUP(C71,$P$18:$Q$100,2,FALSE),TODAY(),"Y")</f>
        <v>22</v>
      </c>
      <c r="D72">
        <f t="shared" ca="1" si="24"/>
        <v>21</v>
      </c>
      <c r="E72">
        <f t="shared" ca="1" si="24"/>
        <v>19</v>
      </c>
      <c r="F72">
        <f t="shared" ca="1" si="24"/>
        <v>20</v>
      </c>
      <c r="G72">
        <f t="shared" ca="1" si="24"/>
        <v>21</v>
      </c>
      <c r="H72">
        <f t="shared" ca="1" si="24"/>
        <v>25</v>
      </c>
      <c r="I72">
        <f t="shared" ca="1" si="24"/>
        <v>25</v>
      </c>
      <c r="J72">
        <f t="shared" ca="1" si="24"/>
        <v>20</v>
      </c>
      <c r="K72">
        <f t="shared" ca="1" si="24"/>
        <v>19</v>
      </c>
      <c r="L72">
        <f t="shared" ca="1" si="24"/>
        <v>18</v>
      </c>
      <c r="N72" s="1">
        <f ca="1">AVERAGE(B72:L72)</f>
        <v>20.90909090909091</v>
      </c>
    </row>
    <row r="74" spans="1:14" x14ac:dyDescent="0.3">
      <c r="A74" t="s">
        <v>229</v>
      </c>
      <c r="B74" t="s">
        <v>13</v>
      </c>
      <c r="C74" t="s">
        <v>111</v>
      </c>
      <c r="D74" t="s">
        <v>14</v>
      </c>
      <c r="E74" t="s">
        <v>28</v>
      </c>
      <c r="F74" t="s">
        <v>10</v>
      </c>
      <c r="G74" t="s">
        <v>95</v>
      </c>
      <c r="H74" t="s">
        <v>12</v>
      </c>
      <c r="I74" t="s">
        <v>11</v>
      </c>
      <c r="J74" t="s">
        <v>313</v>
      </c>
      <c r="K74" t="s">
        <v>170</v>
      </c>
      <c r="L74" t="s">
        <v>314</v>
      </c>
    </row>
    <row r="75" spans="1:14" x14ac:dyDescent="0.3">
      <c r="B75">
        <f ca="1">DATEDIF(VLOOKUP(B74,$P$18:$Q$100,2,FALSE),TODAY(),"Y")</f>
        <v>20</v>
      </c>
      <c r="C75">
        <f t="shared" ref="C75:L75" ca="1" si="25">DATEDIF(VLOOKUP(C74,$P$18:$Q$100,2,FALSE),TODAY(),"Y")</f>
        <v>22</v>
      </c>
      <c r="D75">
        <f t="shared" ca="1" si="25"/>
        <v>19</v>
      </c>
      <c r="E75">
        <f t="shared" ca="1" si="25"/>
        <v>20</v>
      </c>
      <c r="F75">
        <f t="shared" ca="1" si="25"/>
        <v>20</v>
      </c>
      <c r="G75">
        <f t="shared" ca="1" si="25"/>
        <v>21</v>
      </c>
      <c r="H75">
        <f t="shared" ca="1" si="25"/>
        <v>25</v>
      </c>
      <c r="I75">
        <f t="shared" ca="1" si="25"/>
        <v>25</v>
      </c>
      <c r="J75">
        <f t="shared" ca="1" si="25"/>
        <v>20</v>
      </c>
      <c r="K75">
        <f t="shared" ca="1" si="25"/>
        <v>18</v>
      </c>
      <c r="L75">
        <f t="shared" ca="1" si="25"/>
        <v>19</v>
      </c>
      <c r="N75" s="1">
        <f ca="1">AVERAGE(B75:L75)</f>
        <v>20.818181818181817</v>
      </c>
    </row>
    <row r="77" spans="1:14" x14ac:dyDescent="0.3">
      <c r="A77" t="s">
        <v>4</v>
      </c>
      <c r="B77" t="s">
        <v>9</v>
      </c>
      <c r="C77" t="s">
        <v>111</v>
      </c>
      <c r="D77" t="s">
        <v>14</v>
      </c>
      <c r="E77" t="s">
        <v>28</v>
      </c>
      <c r="F77" t="s">
        <v>10</v>
      </c>
      <c r="G77" t="s">
        <v>95</v>
      </c>
      <c r="H77" t="s">
        <v>12</v>
      </c>
      <c r="I77" t="s">
        <v>175</v>
      </c>
      <c r="J77" t="s">
        <v>313</v>
      </c>
      <c r="K77" t="s">
        <v>170</v>
      </c>
      <c r="L77" t="s">
        <v>314</v>
      </c>
    </row>
    <row r="78" spans="1:14" x14ac:dyDescent="0.3">
      <c r="B78">
        <f ca="1">DATEDIF(VLOOKUP(B77,$P$18:$Q$100,2,FALSE),TODAY(),"Y")</f>
        <v>24</v>
      </c>
      <c r="C78">
        <f t="shared" ref="C78:L78" ca="1" si="26">DATEDIF(VLOOKUP(C77,$P$18:$Q$100,2,FALSE),TODAY(),"Y")</f>
        <v>22</v>
      </c>
      <c r="D78">
        <f t="shared" ca="1" si="26"/>
        <v>19</v>
      </c>
      <c r="E78">
        <f t="shared" ca="1" si="26"/>
        <v>20</v>
      </c>
      <c r="F78">
        <f t="shared" ca="1" si="26"/>
        <v>20</v>
      </c>
      <c r="G78">
        <f t="shared" ca="1" si="26"/>
        <v>21</v>
      </c>
      <c r="H78">
        <f t="shared" ca="1" si="26"/>
        <v>25</v>
      </c>
      <c r="I78">
        <f t="shared" ca="1" si="26"/>
        <v>21</v>
      </c>
      <c r="J78">
        <f t="shared" ca="1" si="26"/>
        <v>20</v>
      </c>
      <c r="K78">
        <f t="shared" ca="1" si="26"/>
        <v>18</v>
      </c>
      <c r="L78">
        <f t="shared" ca="1" si="26"/>
        <v>19</v>
      </c>
      <c r="N78" s="1">
        <f ca="1">AVERAGE(B78:L78)</f>
        <v>20.818181818181817</v>
      </c>
    </row>
  </sheetData>
  <pageMargins left="0.7" right="0.7" top="0.78740157499999996" bottom="0.78740157499999996" header="0.3" footer="0.3"/>
  <headerFooter>
    <oddHeader>&amp;R&amp;"Calibri"&amp;12&amp;K000000 Confidential&amp;1#_x000D_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D7D6-4932-46BC-9430-8F20DDAB89DF}">
  <dimension ref="A1:T87"/>
  <sheetViews>
    <sheetView topLeftCell="A13" workbookViewId="0">
      <selection activeCell="T19" sqref="T19"/>
    </sheetView>
  </sheetViews>
  <sheetFormatPr baseColWidth="10" defaultRowHeight="14.4" x14ac:dyDescent="0.3"/>
  <cols>
    <col min="1" max="1" width="12.77734375" bestFit="1" customWidth="1"/>
    <col min="4" max="4" width="14.44140625" customWidth="1"/>
    <col min="14" max="14" width="11.5546875" style="1"/>
    <col min="16" max="16" width="14.6640625" customWidth="1"/>
  </cols>
  <sheetData>
    <row r="1" spans="1:14" x14ac:dyDescent="0.3">
      <c r="N1" s="1">
        <f ca="1">AVERAGE(N3:N99)</f>
        <v>19.70846394984326</v>
      </c>
    </row>
    <row r="2" spans="1:14" x14ac:dyDescent="0.3">
      <c r="A2" t="s">
        <v>53</v>
      </c>
      <c r="B2" t="s">
        <v>47</v>
      </c>
      <c r="C2" t="s">
        <v>42</v>
      </c>
      <c r="D2" t="s">
        <v>48</v>
      </c>
      <c r="E2" t="s">
        <v>52</v>
      </c>
      <c r="F2" t="s">
        <v>97</v>
      </c>
      <c r="G2" t="s">
        <v>45</v>
      </c>
      <c r="H2" t="s">
        <v>44</v>
      </c>
      <c r="I2" t="s">
        <v>56</v>
      </c>
      <c r="J2" t="s">
        <v>54</v>
      </c>
      <c r="K2" t="s">
        <v>43</v>
      </c>
      <c r="L2" t="s">
        <v>27</v>
      </c>
    </row>
    <row r="3" spans="1:14" x14ac:dyDescent="0.3">
      <c r="B3">
        <f ca="1">DATEDIF(VLOOKUP(B2,$P$18:$Q$100,2,FALSE),TODAY(),"Y")</f>
        <v>20</v>
      </c>
      <c r="C3">
        <f t="shared" ref="C3:L3" ca="1" si="0">DATEDIF(VLOOKUP(C2,$P$18:$Q$100,2,FALSE),TODAY(),"Y")</f>
        <v>18</v>
      </c>
      <c r="D3">
        <f t="shared" ca="1" si="0"/>
        <v>20</v>
      </c>
      <c r="E3">
        <f t="shared" ca="1" si="0"/>
        <v>20</v>
      </c>
      <c r="F3">
        <f t="shared" ca="1" si="0"/>
        <v>25</v>
      </c>
      <c r="G3">
        <f t="shared" ca="1" si="0"/>
        <v>19</v>
      </c>
      <c r="H3">
        <f t="shared" ca="1" si="0"/>
        <v>19</v>
      </c>
      <c r="I3">
        <f t="shared" ca="1" si="0"/>
        <v>20</v>
      </c>
      <c r="J3">
        <f t="shared" ca="1" si="0"/>
        <v>18</v>
      </c>
      <c r="K3">
        <f t="shared" ca="1" si="0"/>
        <v>20</v>
      </c>
      <c r="L3">
        <f t="shared" ca="1" si="0"/>
        <v>21</v>
      </c>
      <c r="N3" s="1">
        <f ca="1">AVERAGE(B3:M3)</f>
        <v>20</v>
      </c>
    </row>
    <row r="5" spans="1:14" x14ac:dyDescent="0.3">
      <c r="A5" t="s">
        <v>51</v>
      </c>
      <c r="B5" t="s">
        <v>47</v>
      </c>
      <c r="C5" t="s">
        <v>42</v>
      </c>
      <c r="D5" t="s">
        <v>48</v>
      </c>
      <c r="E5" t="s">
        <v>52</v>
      </c>
      <c r="F5" t="s">
        <v>97</v>
      </c>
      <c r="G5" t="s">
        <v>45</v>
      </c>
      <c r="H5" t="s">
        <v>44</v>
      </c>
      <c r="I5" t="s">
        <v>56</v>
      </c>
      <c r="J5" t="s">
        <v>54</v>
      </c>
      <c r="K5" t="s">
        <v>113</v>
      </c>
      <c r="L5" t="s">
        <v>27</v>
      </c>
    </row>
    <row r="6" spans="1:14" x14ac:dyDescent="0.3">
      <c r="B6">
        <f ca="1">DATEDIF(VLOOKUP(B5,$P$18:$Q$100,2,FALSE),TODAY(),"Y")</f>
        <v>20</v>
      </c>
      <c r="C6">
        <f t="shared" ref="C6:L6" ca="1" si="1">DATEDIF(VLOOKUP(C5,$P$18:$Q$100,2,FALSE),TODAY(),"Y")</f>
        <v>18</v>
      </c>
      <c r="D6">
        <f t="shared" ca="1" si="1"/>
        <v>20</v>
      </c>
      <c r="E6">
        <f t="shared" ca="1" si="1"/>
        <v>20</v>
      </c>
      <c r="F6">
        <f t="shared" ca="1" si="1"/>
        <v>25</v>
      </c>
      <c r="G6">
        <f t="shared" ca="1" si="1"/>
        <v>19</v>
      </c>
      <c r="H6">
        <f t="shared" ca="1" si="1"/>
        <v>19</v>
      </c>
      <c r="I6">
        <f t="shared" ca="1" si="1"/>
        <v>20</v>
      </c>
      <c r="J6">
        <f t="shared" ca="1" si="1"/>
        <v>18</v>
      </c>
      <c r="K6">
        <f t="shared" ca="1" si="1"/>
        <v>25</v>
      </c>
      <c r="L6">
        <f t="shared" ca="1" si="1"/>
        <v>21</v>
      </c>
      <c r="N6" s="1">
        <f ca="1">AVERAGE(B6:M6)</f>
        <v>20.454545454545453</v>
      </c>
    </row>
    <row r="8" spans="1:14" x14ac:dyDescent="0.3">
      <c r="A8" t="s">
        <v>163</v>
      </c>
      <c r="B8" t="s">
        <v>161</v>
      </c>
      <c r="C8" t="s">
        <v>42</v>
      </c>
      <c r="D8" t="s">
        <v>48</v>
      </c>
      <c r="E8" t="s">
        <v>52</v>
      </c>
      <c r="F8" t="s">
        <v>97</v>
      </c>
      <c r="G8" t="s">
        <v>45</v>
      </c>
      <c r="H8" t="s">
        <v>44</v>
      </c>
      <c r="I8" t="s">
        <v>162</v>
      </c>
      <c r="J8" t="s">
        <v>54</v>
      </c>
      <c r="K8" t="s">
        <v>113</v>
      </c>
      <c r="L8" t="s">
        <v>27</v>
      </c>
    </row>
    <row r="9" spans="1:14" x14ac:dyDescent="0.3">
      <c r="B9">
        <f ca="1">DATEDIF(VLOOKUP(B8,$P$18:$Q$100,2,FALSE),TODAY(),"Y")</f>
        <v>21</v>
      </c>
      <c r="C9">
        <f t="shared" ref="C9:L9" ca="1" si="2">DATEDIF(VLOOKUP(C8,$P$18:$Q$100,2,FALSE),TODAY(),"Y")</f>
        <v>18</v>
      </c>
      <c r="D9">
        <f t="shared" ca="1" si="2"/>
        <v>20</v>
      </c>
      <c r="E9">
        <f t="shared" ca="1" si="2"/>
        <v>20</v>
      </c>
      <c r="F9">
        <f t="shared" ca="1" si="2"/>
        <v>25</v>
      </c>
      <c r="G9">
        <f t="shared" ca="1" si="2"/>
        <v>19</v>
      </c>
      <c r="H9">
        <f t="shared" ca="1" si="2"/>
        <v>19</v>
      </c>
      <c r="I9">
        <f t="shared" ca="1" si="2"/>
        <v>19</v>
      </c>
      <c r="J9">
        <f t="shared" ca="1" si="2"/>
        <v>18</v>
      </c>
      <c r="K9">
        <f t="shared" ca="1" si="2"/>
        <v>25</v>
      </c>
      <c r="L9">
        <f t="shared" ca="1" si="2"/>
        <v>21</v>
      </c>
      <c r="N9" s="1">
        <f ca="1">AVERAGE(B9:M9)</f>
        <v>20.454545454545453</v>
      </c>
    </row>
    <row r="11" spans="1:14" x14ac:dyDescent="0.3">
      <c r="A11" t="s">
        <v>41</v>
      </c>
      <c r="B11" t="s">
        <v>161</v>
      </c>
      <c r="C11" t="s">
        <v>42</v>
      </c>
      <c r="D11" t="s">
        <v>172</v>
      </c>
      <c r="E11" t="s">
        <v>52</v>
      </c>
      <c r="F11" t="s">
        <v>97</v>
      </c>
      <c r="G11" t="s">
        <v>45</v>
      </c>
      <c r="H11" t="s">
        <v>44</v>
      </c>
      <c r="I11" t="s">
        <v>162</v>
      </c>
      <c r="J11" t="s">
        <v>54</v>
      </c>
      <c r="K11" t="s">
        <v>113</v>
      </c>
      <c r="L11" t="s">
        <v>27</v>
      </c>
    </row>
    <row r="12" spans="1:14" x14ac:dyDescent="0.3">
      <c r="B12">
        <f ca="1">DATEDIF(VLOOKUP(B11,$P$18:$Q$100,2,FALSE),TODAY(),"Y")</f>
        <v>21</v>
      </c>
      <c r="C12">
        <f t="shared" ref="C12:L12" ca="1" si="3">DATEDIF(VLOOKUP(C11,$P$18:$Q$100,2,FALSE),TODAY(),"Y")</f>
        <v>18</v>
      </c>
      <c r="D12">
        <f t="shared" ca="1" si="3"/>
        <v>18</v>
      </c>
      <c r="E12">
        <f t="shared" ca="1" si="3"/>
        <v>20</v>
      </c>
      <c r="F12">
        <f t="shared" ca="1" si="3"/>
        <v>25</v>
      </c>
      <c r="G12">
        <f t="shared" ca="1" si="3"/>
        <v>19</v>
      </c>
      <c r="H12">
        <f t="shared" ca="1" si="3"/>
        <v>19</v>
      </c>
      <c r="I12">
        <f t="shared" ca="1" si="3"/>
        <v>19</v>
      </c>
      <c r="J12">
        <f t="shared" ca="1" si="3"/>
        <v>18</v>
      </c>
      <c r="K12">
        <f t="shared" ca="1" si="3"/>
        <v>25</v>
      </c>
      <c r="L12">
        <f t="shared" ca="1" si="3"/>
        <v>21</v>
      </c>
      <c r="N12" s="1">
        <f ca="1">AVERAGE(B12:M12)</f>
        <v>20.272727272727273</v>
      </c>
    </row>
    <row r="14" spans="1:14" x14ac:dyDescent="0.3">
      <c r="A14" t="s">
        <v>60</v>
      </c>
      <c r="B14" t="s">
        <v>47</v>
      </c>
      <c r="C14" t="s">
        <v>42</v>
      </c>
      <c r="D14" t="s">
        <v>180</v>
      </c>
      <c r="E14" t="s">
        <v>52</v>
      </c>
      <c r="F14" t="s">
        <v>97</v>
      </c>
      <c r="G14" t="s">
        <v>45</v>
      </c>
      <c r="H14" t="s">
        <v>44</v>
      </c>
      <c r="I14" t="s">
        <v>162</v>
      </c>
      <c r="J14" t="s">
        <v>54</v>
      </c>
      <c r="K14" t="s">
        <v>113</v>
      </c>
      <c r="L14" t="s">
        <v>27</v>
      </c>
    </row>
    <row r="15" spans="1:14" x14ac:dyDescent="0.3">
      <c r="B15">
        <f ca="1">DATEDIF(VLOOKUP(B14,$P$18:$Q$100,2,FALSE),TODAY(),"Y")</f>
        <v>20</v>
      </c>
      <c r="C15">
        <f t="shared" ref="C15:L15" ca="1" si="4">DATEDIF(VLOOKUP(C14,$P$18:$Q$100,2,FALSE),TODAY(),"Y")</f>
        <v>18</v>
      </c>
      <c r="D15">
        <f t="shared" ca="1" si="4"/>
        <v>19</v>
      </c>
      <c r="E15">
        <f t="shared" ca="1" si="4"/>
        <v>20</v>
      </c>
      <c r="F15">
        <f t="shared" ca="1" si="4"/>
        <v>25</v>
      </c>
      <c r="G15">
        <f t="shared" ca="1" si="4"/>
        <v>19</v>
      </c>
      <c r="H15">
        <f t="shared" ca="1" si="4"/>
        <v>19</v>
      </c>
      <c r="I15">
        <f t="shared" ca="1" si="4"/>
        <v>19</v>
      </c>
      <c r="J15">
        <f t="shared" ca="1" si="4"/>
        <v>18</v>
      </c>
      <c r="K15">
        <f t="shared" ca="1" si="4"/>
        <v>25</v>
      </c>
      <c r="L15">
        <f t="shared" ca="1" si="4"/>
        <v>21</v>
      </c>
      <c r="N15" s="1">
        <f ca="1">AVERAGE(B15:M15)</f>
        <v>20.272727272727273</v>
      </c>
    </row>
    <row r="17" spans="1:20" x14ac:dyDescent="0.3">
      <c r="A17" t="s">
        <v>46</v>
      </c>
      <c r="B17" t="s">
        <v>47</v>
      </c>
      <c r="C17" t="s">
        <v>56</v>
      </c>
      <c r="D17" t="s">
        <v>180</v>
      </c>
      <c r="E17" t="s">
        <v>52</v>
      </c>
      <c r="F17" t="s">
        <v>97</v>
      </c>
      <c r="G17" t="s">
        <v>45</v>
      </c>
      <c r="H17" t="s">
        <v>202</v>
      </c>
      <c r="I17" t="s">
        <v>162</v>
      </c>
      <c r="J17" t="s">
        <v>172</v>
      </c>
      <c r="K17" t="s">
        <v>113</v>
      </c>
      <c r="L17" t="s">
        <v>27</v>
      </c>
    </row>
    <row r="18" spans="1:20" x14ac:dyDescent="0.3">
      <c r="B18">
        <f ca="1">DATEDIF(VLOOKUP(B17,$P$18:$Q$100,2,FALSE),TODAY(),"Y")</f>
        <v>20</v>
      </c>
      <c r="C18">
        <f t="shared" ref="C18:L18" ca="1" si="5">DATEDIF(VLOOKUP(C17,$P$18:$Q$100,2,FALSE),TODAY(),"Y")</f>
        <v>20</v>
      </c>
      <c r="D18">
        <f t="shared" ca="1" si="5"/>
        <v>19</v>
      </c>
      <c r="E18">
        <f t="shared" ca="1" si="5"/>
        <v>20</v>
      </c>
      <c r="F18">
        <f t="shared" ca="1" si="5"/>
        <v>25</v>
      </c>
      <c r="G18">
        <f t="shared" ca="1" si="5"/>
        <v>19</v>
      </c>
      <c r="H18">
        <f t="shared" ca="1" si="5"/>
        <v>18</v>
      </c>
      <c r="I18">
        <f t="shared" ca="1" si="5"/>
        <v>19</v>
      </c>
      <c r="J18">
        <f t="shared" ca="1" si="5"/>
        <v>18</v>
      </c>
      <c r="K18">
        <f t="shared" ca="1" si="5"/>
        <v>25</v>
      </c>
      <c r="L18">
        <f t="shared" ca="1" si="5"/>
        <v>21</v>
      </c>
      <c r="N18" s="1">
        <f ca="1">AVERAGE(B18:M18)</f>
        <v>20.363636363636363</v>
      </c>
      <c r="P18" t="s">
        <v>47</v>
      </c>
      <c r="Q18" s="6">
        <v>38672</v>
      </c>
      <c r="T18">
        <v>28</v>
      </c>
    </row>
    <row r="19" spans="1:20" x14ac:dyDescent="0.3">
      <c r="P19" t="s">
        <v>52</v>
      </c>
      <c r="Q19" s="6">
        <v>38832</v>
      </c>
    </row>
    <row r="20" spans="1:20" x14ac:dyDescent="0.3">
      <c r="A20" t="s">
        <v>153</v>
      </c>
      <c r="B20" t="s">
        <v>47</v>
      </c>
      <c r="C20" t="s">
        <v>56</v>
      </c>
      <c r="D20" t="s">
        <v>42</v>
      </c>
      <c r="E20" t="s">
        <v>52</v>
      </c>
      <c r="F20" t="s">
        <v>97</v>
      </c>
      <c r="G20" t="s">
        <v>45</v>
      </c>
      <c r="H20" t="s">
        <v>217</v>
      </c>
      <c r="I20" t="s">
        <v>162</v>
      </c>
      <c r="J20" t="s">
        <v>54</v>
      </c>
      <c r="K20" t="s">
        <v>44</v>
      </c>
      <c r="L20" t="s">
        <v>27</v>
      </c>
      <c r="P20" t="s">
        <v>48</v>
      </c>
      <c r="Q20" s="6">
        <v>38747</v>
      </c>
    </row>
    <row r="21" spans="1:20" x14ac:dyDescent="0.3">
      <c r="B21">
        <f ca="1">DATEDIF(VLOOKUP(B20,$P$18:$Q$100,2,FALSE),TODAY(),"Y")</f>
        <v>20</v>
      </c>
      <c r="C21">
        <f t="shared" ref="C21:L21" ca="1" si="6">DATEDIF(VLOOKUP(C20,$P$18:$Q$100,2,FALSE),TODAY(),"Y")</f>
        <v>20</v>
      </c>
      <c r="D21">
        <f t="shared" ca="1" si="6"/>
        <v>18</v>
      </c>
      <c r="E21">
        <f t="shared" ca="1" si="6"/>
        <v>20</v>
      </c>
      <c r="F21">
        <f t="shared" ca="1" si="6"/>
        <v>25</v>
      </c>
      <c r="G21">
        <f t="shared" ca="1" si="6"/>
        <v>19</v>
      </c>
      <c r="H21">
        <f t="shared" ca="1" si="6"/>
        <v>20</v>
      </c>
      <c r="I21">
        <f t="shared" ca="1" si="6"/>
        <v>19</v>
      </c>
      <c r="J21">
        <f t="shared" ca="1" si="6"/>
        <v>18</v>
      </c>
      <c r="K21">
        <f t="shared" ca="1" si="6"/>
        <v>19</v>
      </c>
      <c r="L21">
        <f t="shared" ca="1" si="6"/>
        <v>21</v>
      </c>
      <c r="N21" s="1">
        <f ca="1">AVERAGE(B21:M21)</f>
        <v>19.90909090909091</v>
      </c>
      <c r="P21" t="s">
        <v>45</v>
      </c>
      <c r="Q21" s="6">
        <v>39211</v>
      </c>
    </row>
    <row r="22" spans="1:20" x14ac:dyDescent="0.3">
      <c r="P22" t="s">
        <v>42</v>
      </c>
      <c r="Q22" s="6">
        <v>39328</v>
      </c>
    </row>
    <row r="23" spans="1:20" x14ac:dyDescent="0.3">
      <c r="A23" t="s">
        <v>181</v>
      </c>
      <c r="B23" t="s">
        <v>161</v>
      </c>
      <c r="C23" t="s">
        <v>56</v>
      </c>
      <c r="D23" t="s">
        <v>42</v>
      </c>
      <c r="E23" t="s">
        <v>52</v>
      </c>
      <c r="F23" t="s">
        <v>97</v>
      </c>
      <c r="G23" t="s">
        <v>45</v>
      </c>
      <c r="H23" t="s">
        <v>217</v>
      </c>
      <c r="I23" t="s">
        <v>162</v>
      </c>
      <c r="J23" t="s">
        <v>54</v>
      </c>
      <c r="K23" t="s">
        <v>44</v>
      </c>
      <c r="L23" t="s">
        <v>27</v>
      </c>
      <c r="P23" t="s">
        <v>97</v>
      </c>
      <c r="Q23" s="6">
        <v>36935</v>
      </c>
    </row>
    <row r="24" spans="1:20" x14ac:dyDescent="0.3">
      <c r="B24">
        <f ca="1">DATEDIF(VLOOKUP(B23,$P$18:$Q$100,2,FALSE),TODAY(),"Y")</f>
        <v>21</v>
      </c>
      <c r="C24">
        <f t="shared" ref="C24:L24" ca="1" si="7">DATEDIF(VLOOKUP(C23,$P$18:$Q$100,2,FALSE),TODAY(),"Y")</f>
        <v>20</v>
      </c>
      <c r="D24">
        <f t="shared" ca="1" si="7"/>
        <v>18</v>
      </c>
      <c r="E24">
        <f t="shared" ca="1" si="7"/>
        <v>20</v>
      </c>
      <c r="F24">
        <f t="shared" ca="1" si="7"/>
        <v>25</v>
      </c>
      <c r="G24">
        <f t="shared" ca="1" si="7"/>
        <v>19</v>
      </c>
      <c r="H24">
        <f t="shared" ca="1" si="7"/>
        <v>20</v>
      </c>
      <c r="I24">
        <f t="shared" ca="1" si="7"/>
        <v>19</v>
      </c>
      <c r="J24">
        <f t="shared" ca="1" si="7"/>
        <v>18</v>
      </c>
      <c r="K24">
        <f t="shared" ca="1" si="7"/>
        <v>19</v>
      </c>
      <c r="L24">
        <f t="shared" ca="1" si="7"/>
        <v>21</v>
      </c>
      <c r="N24" s="1">
        <f ca="1">AVERAGE(B24:M24)</f>
        <v>20</v>
      </c>
      <c r="P24" t="s">
        <v>44</v>
      </c>
      <c r="Q24" s="6">
        <v>39031</v>
      </c>
    </row>
    <row r="25" spans="1:20" x14ac:dyDescent="0.3">
      <c r="P25" t="s">
        <v>56</v>
      </c>
      <c r="Q25" s="6">
        <v>38815</v>
      </c>
    </row>
    <row r="26" spans="1:20" x14ac:dyDescent="0.3">
      <c r="A26" t="s">
        <v>231</v>
      </c>
      <c r="B26" t="s">
        <v>161</v>
      </c>
      <c r="C26" t="s">
        <v>56</v>
      </c>
      <c r="D26" t="s">
        <v>42</v>
      </c>
      <c r="E26" t="s">
        <v>52</v>
      </c>
      <c r="F26" t="s">
        <v>97</v>
      </c>
      <c r="G26" t="s">
        <v>45</v>
      </c>
      <c r="H26" t="s">
        <v>232</v>
      </c>
      <c r="I26" t="s">
        <v>162</v>
      </c>
      <c r="J26" t="s">
        <v>54</v>
      </c>
      <c r="K26" t="s">
        <v>44</v>
      </c>
      <c r="L26" t="s">
        <v>27</v>
      </c>
      <c r="P26" t="s">
        <v>43</v>
      </c>
      <c r="Q26" s="6">
        <v>38783</v>
      </c>
    </row>
    <row r="27" spans="1:20" x14ac:dyDescent="0.3">
      <c r="B27">
        <f ca="1">DATEDIF(VLOOKUP(B26,$P$18:$Q$100,2,FALSE),TODAY(),"Y")</f>
        <v>21</v>
      </c>
      <c r="C27">
        <f t="shared" ref="C27:L27" ca="1" si="8">DATEDIF(VLOOKUP(C26,$P$18:$Q$100,2,FALSE),TODAY(),"Y")</f>
        <v>20</v>
      </c>
      <c r="D27">
        <f t="shared" ca="1" si="8"/>
        <v>18</v>
      </c>
      <c r="E27">
        <f t="shared" ca="1" si="8"/>
        <v>20</v>
      </c>
      <c r="F27">
        <f t="shared" ca="1" si="8"/>
        <v>25</v>
      </c>
      <c r="G27">
        <f t="shared" ca="1" si="8"/>
        <v>19</v>
      </c>
      <c r="H27">
        <f t="shared" ca="1" si="8"/>
        <v>21</v>
      </c>
      <c r="I27">
        <f t="shared" ca="1" si="8"/>
        <v>19</v>
      </c>
      <c r="J27">
        <f t="shared" ca="1" si="8"/>
        <v>18</v>
      </c>
      <c r="K27">
        <f t="shared" ca="1" si="8"/>
        <v>19</v>
      </c>
      <c r="L27">
        <f t="shared" ca="1" si="8"/>
        <v>21</v>
      </c>
      <c r="N27" s="1">
        <f ca="1">AVERAGE(B27:M27)</f>
        <v>20.09090909090909</v>
      </c>
      <c r="P27" t="s">
        <v>54</v>
      </c>
      <c r="Q27" s="6">
        <v>39334</v>
      </c>
    </row>
    <row r="28" spans="1:20" x14ac:dyDescent="0.3">
      <c r="P28" t="s">
        <v>27</v>
      </c>
      <c r="Q28" s="6">
        <v>38316</v>
      </c>
    </row>
    <row r="29" spans="1:20" x14ac:dyDescent="0.3">
      <c r="A29" t="s">
        <v>177</v>
      </c>
      <c r="B29" t="s">
        <v>161</v>
      </c>
      <c r="C29" t="s">
        <v>180</v>
      </c>
      <c r="D29" t="s">
        <v>42</v>
      </c>
      <c r="E29" t="s">
        <v>52</v>
      </c>
      <c r="F29" t="s">
        <v>97</v>
      </c>
      <c r="G29" t="s">
        <v>45</v>
      </c>
      <c r="H29" t="s">
        <v>232</v>
      </c>
      <c r="I29" t="s">
        <v>162</v>
      </c>
      <c r="J29" t="s">
        <v>54</v>
      </c>
      <c r="K29" t="s">
        <v>44</v>
      </c>
      <c r="L29" t="s">
        <v>243</v>
      </c>
      <c r="P29" t="s">
        <v>113</v>
      </c>
      <c r="Q29" s="6">
        <v>36691</v>
      </c>
    </row>
    <row r="30" spans="1:20" x14ac:dyDescent="0.3">
      <c r="B30">
        <f ca="1">DATEDIF(VLOOKUP(B29,$P$18:$Q$100,2,FALSE),TODAY(),"Y")</f>
        <v>21</v>
      </c>
      <c r="C30">
        <f t="shared" ref="C30:L30" ca="1" si="9">DATEDIF(VLOOKUP(C29,$P$18:$Q$100,2,FALSE),TODAY(),"Y")</f>
        <v>19</v>
      </c>
      <c r="D30">
        <f t="shared" ca="1" si="9"/>
        <v>18</v>
      </c>
      <c r="E30">
        <f t="shared" ca="1" si="9"/>
        <v>20</v>
      </c>
      <c r="F30">
        <f t="shared" ca="1" si="9"/>
        <v>25</v>
      </c>
      <c r="G30">
        <f t="shared" ca="1" si="9"/>
        <v>19</v>
      </c>
      <c r="H30">
        <f t="shared" ca="1" si="9"/>
        <v>21</v>
      </c>
      <c r="I30">
        <f t="shared" ca="1" si="9"/>
        <v>19</v>
      </c>
      <c r="J30">
        <f t="shared" ca="1" si="9"/>
        <v>18</v>
      </c>
      <c r="K30">
        <f t="shared" ca="1" si="9"/>
        <v>19</v>
      </c>
      <c r="L30">
        <f t="shared" ca="1" si="9"/>
        <v>19</v>
      </c>
      <c r="N30" s="1">
        <f ca="1">AVERAGE(B30:M30)</f>
        <v>19.818181818181817</v>
      </c>
      <c r="P30" t="s">
        <v>161</v>
      </c>
      <c r="Q30" s="6">
        <v>38273</v>
      </c>
    </row>
    <row r="31" spans="1:20" x14ac:dyDescent="0.3">
      <c r="P31" t="s">
        <v>162</v>
      </c>
      <c r="Q31" s="6">
        <v>38930</v>
      </c>
    </row>
    <row r="32" spans="1:20" x14ac:dyDescent="0.3">
      <c r="A32" t="s">
        <v>55</v>
      </c>
      <c r="B32" t="s">
        <v>161</v>
      </c>
      <c r="C32" t="s">
        <v>180</v>
      </c>
      <c r="D32" t="s">
        <v>42</v>
      </c>
      <c r="E32" t="s">
        <v>52</v>
      </c>
      <c r="F32" t="s">
        <v>97</v>
      </c>
      <c r="G32" t="s">
        <v>45</v>
      </c>
      <c r="H32" t="s">
        <v>232</v>
      </c>
      <c r="I32" t="s">
        <v>162</v>
      </c>
      <c r="J32" t="s">
        <v>54</v>
      </c>
      <c r="K32" t="s">
        <v>44</v>
      </c>
      <c r="L32" t="s">
        <v>243</v>
      </c>
      <c r="P32" t="s">
        <v>172</v>
      </c>
      <c r="Q32" s="6">
        <v>39521</v>
      </c>
    </row>
    <row r="33" spans="1:17" x14ac:dyDescent="0.3">
      <c r="B33">
        <f ca="1">DATEDIF(VLOOKUP(B32,$P$18:$Q$100,2,FALSE),TODAY(),"Y")</f>
        <v>21</v>
      </c>
      <c r="C33">
        <f t="shared" ref="C33:L33" ca="1" si="10">DATEDIF(VLOOKUP(C32,$P$18:$Q$100,2,FALSE),TODAY(),"Y")</f>
        <v>19</v>
      </c>
      <c r="D33">
        <f t="shared" ca="1" si="10"/>
        <v>18</v>
      </c>
      <c r="E33">
        <f t="shared" ca="1" si="10"/>
        <v>20</v>
      </c>
      <c r="F33">
        <f t="shared" ca="1" si="10"/>
        <v>25</v>
      </c>
      <c r="G33">
        <f t="shared" ca="1" si="10"/>
        <v>19</v>
      </c>
      <c r="H33">
        <f t="shared" ca="1" si="10"/>
        <v>21</v>
      </c>
      <c r="I33">
        <f t="shared" ca="1" si="10"/>
        <v>19</v>
      </c>
      <c r="J33">
        <f t="shared" ca="1" si="10"/>
        <v>18</v>
      </c>
      <c r="K33">
        <f t="shared" ca="1" si="10"/>
        <v>19</v>
      </c>
      <c r="L33">
        <f t="shared" ca="1" si="10"/>
        <v>19</v>
      </c>
      <c r="N33" s="1">
        <f ca="1">AVERAGE(B33:M33)</f>
        <v>19.818181818181817</v>
      </c>
      <c r="P33" t="s">
        <v>180</v>
      </c>
      <c r="Q33" s="6">
        <v>39202</v>
      </c>
    </row>
    <row r="34" spans="1:17" x14ac:dyDescent="0.3">
      <c r="P34" t="s">
        <v>202</v>
      </c>
      <c r="Q34" s="6">
        <v>39235</v>
      </c>
    </row>
    <row r="35" spans="1:17" x14ac:dyDescent="0.3">
      <c r="A35" t="s">
        <v>223</v>
      </c>
      <c r="B35" t="s">
        <v>161</v>
      </c>
      <c r="C35" t="s">
        <v>48</v>
      </c>
      <c r="D35" t="s">
        <v>42</v>
      </c>
      <c r="E35" t="s">
        <v>180</v>
      </c>
      <c r="F35" t="s">
        <v>97</v>
      </c>
      <c r="G35" t="s">
        <v>27</v>
      </c>
      <c r="H35" t="s">
        <v>172</v>
      </c>
      <c r="I35" t="s">
        <v>162</v>
      </c>
      <c r="J35" t="s">
        <v>54</v>
      </c>
      <c r="K35" t="s">
        <v>44</v>
      </c>
      <c r="L35" t="s">
        <v>202</v>
      </c>
      <c r="P35" t="s">
        <v>217</v>
      </c>
      <c r="Q35" s="6">
        <v>38695</v>
      </c>
    </row>
    <row r="36" spans="1:17" x14ac:dyDescent="0.3">
      <c r="B36">
        <f ca="1">DATEDIF(VLOOKUP(B35,$P$18:$Q$100,2,FALSE),TODAY(),"Y")</f>
        <v>21</v>
      </c>
      <c r="C36">
        <f t="shared" ref="C36:L36" ca="1" si="11">DATEDIF(VLOOKUP(C35,$P$18:$Q$100,2,FALSE),TODAY(),"Y")</f>
        <v>20</v>
      </c>
      <c r="D36">
        <f t="shared" ca="1" si="11"/>
        <v>18</v>
      </c>
      <c r="E36">
        <f t="shared" ca="1" si="11"/>
        <v>19</v>
      </c>
      <c r="F36">
        <f t="shared" ca="1" si="11"/>
        <v>25</v>
      </c>
      <c r="G36">
        <f t="shared" ca="1" si="11"/>
        <v>21</v>
      </c>
      <c r="H36">
        <f t="shared" ca="1" si="11"/>
        <v>18</v>
      </c>
      <c r="I36">
        <f t="shared" ca="1" si="11"/>
        <v>19</v>
      </c>
      <c r="J36">
        <f t="shared" ca="1" si="11"/>
        <v>18</v>
      </c>
      <c r="K36">
        <f t="shared" ca="1" si="11"/>
        <v>19</v>
      </c>
      <c r="L36">
        <f t="shared" ca="1" si="11"/>
        <v>18</v>
      </c>
      <c r="N36" s="1">
        <f ca="1">AVERAGE(B36:M36)</f>
        <v>19.636363636363637</v>
      </c>
      <c r="P36" t="s">
        <v>232</v>
      </c>
      <c r="Q36" s="6">
        <v>38377</v>
      </c>
    </row>
    <row r="37" spans="1:17" x14ac:dyDescent="0.3">
      <c r="P37" t="s">
        <v>243</v>
      </c>
      <c r="Q37" s="6">
        <v>38949</v>
      </c>
    </row>
    <row r="38" spans="1:17" x14ac:dyDescent="0.3">
      <c r="A38" t="s">
        <v>109</v>
      </c>
      <c r="B38" t="s">
        <v>47</v>
      </c>
      <c r="C38" t="s">
        <v>48</v>
      </c>
      <c r="D38" t="s">
        <v>42</v>
      </c>
      <c r="E38" t="s">
        <v>180</v>
      </c>
      <c r="F38" t="s">
        <v>97</v>
      </c>
      <c r="G38" t="s">
        <v>243</v>
      </c>
      <c r="H38" t="s">
        <v>172</v>
      </c>
      <c r="I38" t="s">
        <v>162</v>
      </c>
      <c r="J38" t="s">
        <v>54</v>
      </c>
      <c r="K38" t="s">
        <v>44</v>
      </c>
      <c r="L38" t="s">
        <v>45</v>
      </c>
      <c r="P38" t="s">
        <v>268</v>
      </c>
      <c r="Q38" s="6">
        <v>37972</v>
      </c>
    </row>
    <row r="39" spans="1:17" x14ac:dyDescent="0.3">
      <c r="B39">
        <f ca="1">DATEDIF(VLOOKUP(B38,$P$18:$Q$100,2,FALSE),TODAY(),"Y")</f>
        <v>20</v>
      </c>
      <c r="C39">
        <f t="shared" ref="C39:L39" ca="1" si="12">DATEDIF(VLOOKUP(C38,$P$18:$Q$100,2,FALSE),TODAY(),"Y")</f>
        <v>20</v>
      </c>
      <c r="D39">
        <f t="shared" ca="1" si="12"/>
        <v>18</v>
      </c>
      <c r="E39">
        <f t="shared" ca="1" si="12"/>
        <v>19</v>
      </c>
      <c r="F39">
        <f t="shared" ca="1" si="12"/>
        <v>25</v>
      </c>
      <c r="G39">
        <f t="shared" ca="1" si="12"/>
        <v>19</v>
      </c>
      <c r="H39">
        <f t="shared" ca="1" si="12"/>
        <v>18</v>
      </c>
      <c r="I39">
        <f t="shared" ca="1" si="12"/>
        <v>19</v>
      </c>
      <c r="J39">
        <f t="shared" ca="1" si="12"/>
        <v>18</v>
      </c>
      <c r="K39">
        <f t="shared" ca="1" si="12"/>
        <v>19</v>
      </c>
      <c r="L39">
        <f t="shared" ca="1" si="12"/>
        <v>19</v>
      </c>
      <c r="N39" s="1">
        <f ca="1">AVERAGE(B39:M39)</f>
        <v>19.454545454545453</v>
      </c>
      <c r="P39" t="s">
        <v>275</v>
      </c>
      <c r="Q39" s="6">
        <v>39232</v>
      </c>
    </row>
    <row r="40" spans="1:17" x14ac:dyDescent="0.3">
      <c r="P40" t="s">
        <v>288</v>
      </c>
      <c r="Q40" s="6">
        <v>38829</v>
      </c>
    </row>
    <row r="41" spans="1:17" x14ac:dyDescent="0.3">
      <c r="A41" t="s">
        <v>169</v>
      </c>
      <c r="B41" t="s">
        <v>47</v>
      </c>
      <c r="C41" t="s">
        <v>52</v>
      </c>
      <c r="D41" t="s">
        <v>42</v>
      </c>
      <c r="E41" t="s">
        <v>180</v>
      </c>
      <c r="F41" t="s">
        <v>97</v>
      </c>
      <c r="G41" t="s">
        <v>243</v>
      </c>
      <c r="H41" t="s">
        <v>268</v>
      </c>
      <c r="I41" t="s">
        <v>232</v>
      </c>
      <c r="J41" t="s">
        <v>54</v>
      </c>
      <c r="K41" t="s">
        <v>44</v>
      </c>
      <c r="L41" t="s">
        <v>45</v>
      </c>
      <c r="P41" t="s">
        <v>289</v>
      </c>
      <c r="Q41" s="6">
        <v>39557</v>
      </c>
    </row>
    <row r="42" spans="1:17" x14ac:dyDescent="0.3">
      <c r="B42">
        <f ca="1">DATEDIF(VLOOKUP(B41,$P$18:$Q$100,2,FALSE),TODAY(),"Y")</f>
        <v>20</v>
      </c>
      <c r="C42">
        <f t="shared" ref="C42:L42" ca="1" si="13">DATEDIF(VLOOKUP(C41,$P$18:$Q$100,2,FALSE),TODAY(),"Y")</f>
        <v>20</v>
      </c>
      <c r="D42">
        <f t="shared" ca="1" si="13"/>
        <v>18</v>
      </c>
      <c r="E42">
        <f t="shared" ca="1" si="13"/>
        <v>19</v>
      </c>
      <c r="F42">
        <f t="shared" ca="1" si="13"/>
        <v>25</v>
      </c>
      <c r="G42">
        <f t="shared" ca="1" si="13"/>
        <v>19</v>
      </c>
      <c r="H42">
        <f t="shared" ca="1" si="13"/>
        <v>22</v>
      </c>
      <c r="I42">
        <f t="shared" ca="1" si="13"/>
        <v>21</v>
      </c>
      <c r="J42">
        <f t="shared" ca="1" si="13"/>
        <v>18</v>
      </c>
      <c r="K42">
        <f t="shared" ca="1" si="13"/>
        <v>19</v>
      </c>
      <c r="L42">
        <f t="shared" ca="1" si="13"/>
        <v>19</v>
      </c>
      <c r="N42" s="1">
        <f ca="1">AVERAGE(B42:M42)</f>
        <v>20</v>
      </c>
      <c r="P42" t="s">
        <v>292</v>
      </c>
      <c r="Q42" s="6">
        <v>39296</v>
      </c>
    </row>
    <row r="43" spans="1:17" x14ac:dyDescent="0.3">
      <c r="P43" t="s">
        <v>316</v>
      </c>
      <c r="Q43" s="6">
        <v>39596</v>
      </c>
    </row>
    <row r="44" spans="1:17" x14ac:dyDescent="0.3">
      <c r="A44" t="s">
        <v>50</v>
      </c>
      <c r="B44" t="s">
        <v>161</v>
      </c>
      <c r="C44" t="s">
        <v>52</v>
      </c>
      <c r="D44" t="s">
        <v>48</v>
      </c>
      <c r="E44" t="s">
        <v>180</v>
      </c>
      <c r="F44" t="s">
        <v>97</v>
      </c>
      <c r="G44" t="s">
        <v>243</v>
      </c>
      <c r="H44" t="s">
        <v>162</v>
      </c>
      <c r="I44" t="s">
        <v>202</v>
      </c>
      <c r="J44" t="s">
        <v>54</v>
      </c>
      <c r="K44" t="s">
        <v>44</v>
      </c>
      <c r="L44" t="s">
        <v>45</v>
      </c>
      <c r="P44" t="s">
        <v>315</v>
      </c>
      <c r="Q44" s="6">
        <v>39645</v>
      </c>
    </row>
    <row r="45" spans="1:17" x14ac:dyDescent="0.3">
      <c r="B45">
        <f ca="1">DATEDIF(VLOOKUP(B44,$P$18:$Q$100,2,FALSE),TODAY(),"Y")</f>
        <v>21</v>
      </c>
      <c r="C45">
        <f t="shared" ref="C45:L45" ca="1" si="14">DATEDIF(VLOOKUP(C44,$P$18:$Q$100,2,FALSE),TODAY(),"Y")</f>
        <v>20</v>
      </c>
      <c r="D45">
        <f t="shared" ca="1" si="14"/>
        <v>20</v>
      </c>
      <c r="E45">
        <f t="shared" ca="1" si="14"/>
        <v>19</v>
      </c>
      <c r="F45">
        <f t="shared" ca="1" si="14"/>
        <v>25</v>
      </c>
      <c r="G45">
        <f t="shared" ca="1" si="14"/>
        <v>19</v>
      </c>
      <c r="H45">
        <f t="shared" ca="1" si="14"/>
        <v>19</v>
      </c>
      <c r="I45">
        <f t="shared" ca="1" si="14"/>
        <v>18</v>
      </c>
      <c r="J45">
        <f t="shared" ca="1" si="14"/>
        <v>18</v>
      </c>
      <c r="K45">
        <f t="shared" ca="1" si="14"/>
        <v>19</v>
      </c>
      <c r="L45">
        <f t="shared" ca="1" si="14"/>
        <v>19</v>
      </c>
      <c r="N45" s="1">
        <f ca="1">AVERAGE(B45:M45)</f>
        <v>19.727272727272727</v>
      </c>
      <c r="P45" t="s">
        <v>346</v>
      </c>
      <c r="Q45" s="6">
        <v>33808</v>
      </c>
    </row>
    <row r="47" spans="1:17" x14ac:dyDescent="0.3">
      <c r="A47" t="s">
        <v>53</v>
      </c>
      <c r="B47" t="s">
        <v>161</v>
      </c>
      <c r="C47" t="s">
        <v>52</v>
      </c>
      <c r="D47" t="s">
        <v>48</v>
      </c>
      <c r="E47" t="s">
        <v>180</v>
      </c>
      <c r="F47" t="s">
        <v>97</v>
      </c>
      <c r="G47" t="s">
        <v>243</v>
      </c>
      <c r="H47" t="s">
        <v>162</v>
      </c>
      <c r="I47" t="s">
        <v>202</v>
      </c>
      <c r="J47" t="s">
        <v>54</v>
      </c>
      <c r="K47" t="s">
        <v>44</v>
      </c>
      <c r="L47" t="s">
        <v>42</v>
      </c>
    </row>
    <row r="48" spans="1:17" x14ac:dyDescent="0.3">
      <c r="B48">
        <f ca="1">DATEDIF(VLOOKUP(B47,$P$18:$Q$100,2,FALSE),TODAY(),"Y")</f>
        <v>21</v>
      </c>
      <c r="C48">
        <f t="shared" ref="C48:L48" ca="1" si="15">DATEDIF(VLOOKUP(C47,$P$18:$Q$100,2,FALSE),TODAY(),"Y")</f>
        <v>20</v>
      </c>
      <c r="D48">
        <f t="shared" ca="1" si="15"/>
        <v>20</v>
      </c>
      <c r="E48">
        <f t="shared" ca="1" si="15"/>
        <v>19</v>
      </c>
      <c r="F48">
        <f t="shared" ca="1" si="15"/>
        <v>25</v>
      </c>
      <c r="G48">
        <f t="shared" ca="1" si="15"/>
        <v>19</v>
      </c>
      <c r="H48">
        <f t="shared" ca="1" si="15"/>
        <v>19</v>
      </c>
      <c r="I48">
        <f t="shared" ca="1" si="15"/>
        <v>18</v>
      </c>
      <c r="J48">
        <f t="shared" ca="1" si="15"/>
        <v>18</v>
      </c>
      <c r="K48">
        <f t="shared" ca="1" si="15"/>
        <v>19</v>
      </c>
      <c r="L48">
        <f t="shared" ca="1" si="15"/>
        <v>18</v>
      </c>
      <c r="N48" s="1">
        <f ca="1">AVERAGE(B48:M48)</f>
        <v>19.636363636363637</v>
      </c>
    </row>
    <row r="50" spans="1:15" x14ac:dyDescent="0.3">
      <c r="A50" t="s">
        <v>51</v>
      </c>
      <c r="B50" t="s">
        <v>161</v>
      </c>
      <c r="C50" t="s">
        <v>172</v>
      </c>
      <c r="D50" t="s">
        <v>48</v>
      </c>
      <c r="E50" t="s">
        <v>275</v>
      </c>
      <c r="F50" t="s">
        <v>97</v>
      </c>
      <c r="G50" t="s">
        <v>243</v>
      </c>
      <c r="H50" t="s">
        <v>162</v>
      </c>
      <c r="I50" t="s">
        <v>202</v>
      </c>
      <c r="J50" t="s">
        <v>54</v>
      </c>
      <c r="K50" t="s">
        <v>44</v>
      </c>
      <c r="L50" t="s">
        <v>42</v>
      </c>
    </row>
    <row r="51" spans="1:15" x14ac:dyDescent="0.3">
      <c r="B51">
        <f ca="1">DATEDIF(VLOOKUP(B50,$P$18:$Q$100,2,FALSE),TODAY(),"Y")</f>
        <v>21</v>
      </c>
      <c r="C51">
        <f t="shared" ref="C51:L51" ca="1" si="16">DATEDIF(VLOOKUP(C50,$P$18:$Q$100,2,FALSE),TODAY(),"Y")</f>
        <v>18</v>
      </c>
      <c r="D51">
        <f t="shared" ca="1" si="16"/>
        <v>20</v>
      </c>
      <c r="E51">
        <f t="shared" ca="1" si="16"/>
        <v>18</v>
      </c>
      <c r="F51">
        <f t="shared" ca="1" si="16"/>
        <v>25</v>
      </c>
      <c r="G51">
        <f t="shared" ca="1" si="16"/>
        <v>19</v>
      </c>
      <c r="H51">
        <f t="shared" ca="1" si="16"/>
        <v>19</v>
      </c>
      <c r="I51">
        <f t="shared" ca="1" si="16"/>
        <v>18</v>
      </c>
      <c r="J51">
        <f t="shared" ca="1" si="16"/>
        <v>18</v>
      </c>
      <c r="K51">
        <f t="shared" ca="1" si="16"/>
        <v>19</v>
      </c>
      <c r="L51">
        <f t="shared" ca="1" si="16"/>
        <v>18</v>
      </c>
      <c r="N51" s="1">
        <f ca="1">AVERAGE(B51:M51)</f>
        <v>19.363636363636363</v>
      </c>
    </row>
    <row r="53" spans="1:15" x14ac:dyDescent="0.3">
      <c r="A53" t="s">
        <v>41</v>
      </c>
      <c r="B53" t="s">
        <v>161</v>
      </c>
      <c r="C53" t="s">
        <v>180</v>
      </c>
      <c r="D53" t="s">
        <v>48</v>
      </c>
      <c r="E53" t="s">
        <v>275</v>
      </c>
      <c r="F53" t="s">
        <v>288</v>
      </c>
      <c r="G53" t="s">
        <v>289</v>
      </c>
      <c r="H53" t="s">
        <v>232</v>
      </c>
      <c r="I53" t="s">
        <v>202</v>
      </c>
      <c r="J53" t="s">
        <v>54</v>
      </c>
      <c r="K53" t="s">
        <v>44</v>
      </c>
      <c r="L53" t="s">
        <v>42</v>
      </c>
    </row>
    <row r="54" spans="1:15" x14ac:dyDescent="0.3">
      <c r="B54">
        <f ca="1">DATEDIF(VLOOKUP(B53,$P$18:$Q$100,2,FALSE),TODAY(),"Y")</f>
        <v>21</v>
      </c>
      <c r="C54">
        <f t="shared" ref="C54:L54" ca="1" si="17">DATEDIF(VLOOKUP(C53,$P$18:$Q$100,2,FALSE),TODAY(),"Y")</f>
        <v>19</v>
      </c>
      <c r="D54">
        <f t="shared" ca="1" si="17"/>
        <v>20</v>
      </c>
      <c r="E54">
        <f t="shared" ca="1" si="17"/>
        <v>18</v>
      </c>
      <c r="F54">
        <f t="shared" ca="1" si="17"/>
        <v>20</v>
      </c>
      <c r="G54">
        <f t="shared" ca="1" si="17"/>
        <v>18</v>
      </c>
      <c r="H54">
        <f t="shared" ca="1" si="17"/>
        <v>21</v>
      </c>
      <c r="I54">
        <f t="shared" ca="1" si="17"/>
        <v>18</v>
      </c>
      <c r="J54">
        <f t="shared" ca="1" si="17"/>
        <v>18</v>
      </c>
      <c r="K54">
        <f t="shared" ca="1" si="17"/>
        <v>19</v>
      </c>
      <c r="L54">
        <f t="shared" ca="1" si="17"/>
        <v>18</v>
      </c>
      <c r="N54" s="1">
        <f ca="1">AVERAGE(B54:M54)</f>
        <v>19.09090909090909</v>
      </c>
    </row>
    <row r="56" spans="1:15" x14ac:dyDescent="0.3">
      <c r="A56" t="s">
        <v>163</v>
      </c>
      <c r="B56" t="s">
        <v>161</v>
      </c>
      <c r="C56" t="s">
        <v>180</v>
      </c>
      <c r="D56" t="s">
        <v>52</v>
      </c>
      <c r="E56" t="s">
        <v>275</v>
      </c>
      <c r="F56" t="s">
        <v>288</v>
      </c>
      <c r="G56" t="s">
        <v>289</v>
      </c>
      <c r="H56" t="s">
        <v>292</v>
      </c>
      <c r="I56" t="s">
        <v>202</v>
      </c>
      <c r="J56" t="s">
        <v>54</v>
      </c>
      <c r="K56" t="s">
        <v>44</v>
      </c>
      <c r="L56" t="s">
        <v>42</v>
      </c>
    </row>
    <row r="57" spans="1:15" x14ac:dyDescent="0.3">
      <c r="B57">
        <f ca="1">DATEDIF(VLOOKUP(B56,$P$18:$Q$100,2,FALSE),TODAY(),"Y")</f>
        <v>21</v>
      </c>
      <c r="C57">
        <f t="shared" ref="C57:L57" ca="1" si="18">DATEDIF(VLOOKUP(C56,$P$18:$Q$100,2,FALSE),TODAY(),"Y")</f>
        <v>19</v>
      </c>
      <c r="D57">
        <f t="shared" ca="1" si="18"/>
        <v>20</v>
      </c>
      <c r="E57">
        <f t="shared" ca="1" si="18"/>
        <v>18</v>
      </c>
      <c r="F57">
        <f t="shared" ca="1" si="18"/>
        <v>20</v>
      </c>
      <c r="G57">
        <f t="shared" ca="1" si="18"/>
        <v>18</v>
      </c>
      <c r="H57">
        <f t="shared" ca="1" si="18"/>
        <v>18</v>
      </c>
      <c r="I57">
        <f t="shared" ca="1" si="18"/>
        <v>18</v>
      </c>
      <c r="J57">
        <f t="shared" ca="1" si="18"/>
        <v>18</v>
      </c>
      <c r="K57">
        <f t="shared" ca="1" si="18"/>
        <v>19</v>
      </c>
      <c r="L57">
        <f t="shared" ca="1" si="18"/>
        <v>18</v>
      </c>
      <c r="N57" s="1">
        <f ca="1">AVERAGE(B57:M57)</f>
        <v>18.818181818181817</v>
      </c>
    </row>
    <row r="59" spans="1:15" x14ac:dyDescent="0.3">
      <c r="A59" t="s">
        <v>60</v>
      </c>
      <c r="B59" t="s">
        <v>161</v>
      </c>
      <c r="C59" t="s">
        <v>180</v>
      </c>
      <c r="D59" t="s">
        <v>52</v>
      </c>
      <c r="E59" t="s">
        <v>275</v>
      </c>
      <c r="F59" t="s">
        <v>288</v>
      </c>
      <c r="G59" t="s">
        <v>289</v>
      </c>
      <c r="H59" t="s">
        <v>292</v>
      </c>
      <c r="I59" t="s">
        <v>202</v>
      </c>
      <c r="J59" t="s">
        <v>54</v>
      </c>
      <c r="K59" t="s">
        <v>44</v>
      </c>
      <c r="L59" t="s">
        <v>42</v>
      </c>
    </row>
    <row r="60" spans="1:15" x14ac:dyDescent="0.3">
      <c r="B60">
        <f ca="1">DATEDIF(VLOOKUP(B59,$P$18:$Q$100,2,FALSE),TODAY(),"Y")</f>
        <v>21</v>
      </c>
      <c r="C60">
        <f t="shared" ref="C60:L60" ca="1" si="19">DATEDIF(VLOOKUP(C59,$P$18:$Q$100,2,FALSE),TODAY(),"Y")</f>
        <v>19</v>
      </c>
      <c r="D60">
        <f t="shared" ca="1" si="19"/>
        <v>20</v>
      </c>
      <c r="E60">
        <f t="shared" ca="1" si="19"/>
        <v>18</v>
      </c>
      <c r="F60">
        <f t="shared" ca="1" si="19"/>
        <v>20</v>
      </c>
      <c r="G60">
        <f t="shared" ca="1" si="19"/>
        <v>18</v>
      </c>
      <c r="H60">
        <f t="shared" ca="1" si="19"/>
        <v>18</v>
      </c>
      <c r="I60">
        <f t="shared" ca="1" si="19"/>
        <v>18</v>
      </c>
      <c r="J60">
        <f t="shared" ca="1" si="19"/>
        <v>18</v>
      </c>
      <c r="K60">
        <f t="shared" ca="1" si="19"/>
        <v>19</v>
      </c>
      <c r="L60">
        <f t="shared" ca="1" si="19"/>
        <v>18</v>
      </c>
      <c r="N60" s="1">
        <f ca="1">AVERAGE(B60:M60)</f>
        <v>18.818181818181817</v>
      </c>
    </row>
    <row r="62" spans="1:15" x14ac:dyDescent="0.3">
      <c r="A62" t="s">
        <v>46</v>
      </c>
      <c r="B62" t="s">
        <v>161</v>
      </c>
      <c r="C62" t="s">
        <v>180</v>
      </c>
      <c r="D62" t="s">
        <v>52</v>
      </c>
      <c r="E62" t="s">
        <v>275</v>
      </c>
      <c r="F62" t="s">
        <v>288</v>
      </c>
      <c r="G62" t="s">
        <v>289</v>
      </c>
      <c r="H62" t="s">
        <v>232</v>
      </c>
      <c r="I62" t="s">
        <v>202</v>
      </c>
      <c r="J62" t="s">
        <v>162</v>
      </c>
      <c r="K62" t="s">
        <v>44</v>
      </c>
      <c r="L62" t="s">
        <v>45</v>
      </c>
      <c r="O62" s="1"/>
    </row>
    <row r="63" spans="1:15" x14ac:dyDescent="0.3">
      <c r="B63">
        <f ca="1">DATEDIF(VLOOKUP(B62,$P$18:$Q$100,2,FALSE),TODAY(),"Y")</f>
        <v>21</v>
      </c>
      <c r="C63">
        <f t="shared" ref="C63:L63" ca="1" si="20">DATEDIF(VLOOKUP(C62,$P$18:$Q$100,2,FALSE),TODAY(),"Y")</f>
        <v>19</v>
      </c>
      <c r="D63">
        <f t="shared" ca="1" si="20"/>
        <v>20</v>
      </c>
      <c r="E63">
        <f t="shared" ca="1" si="20"/>
        <v>18</v>
      </c>
      <c r="F63">
        <f t="shared" ca="1" si="20"/>
        <v>20</v>
      </c>
      <c r="G63">
        <f t="shared" ca="1" si="20"/>
        <v>18</v>
      </c>
      <c r="H63">
        <f t="shared" ca="1" si="20"/>
        <v>21</v>
      </c>
      <c r="I63">
        <f t="shared" ca="1" si="20"/>
        <v>18</v>
      </c>
      <c r="J63">
        <f t="shared" ca="1" si="20"/>
        <v>19</v>
      </c>
      <c r="K63">
        <f t="shared" ca="1" si="20"/>
        <v>19</v>
      </c>
      <c r="L63">
        <f t="shared" ca="1" si="20"/>
        <v>19</v>
      </c>
      <c r="N63" s="1">
        <f ca="1">AVERAGE(B63:M63)</f>
        <v>19.272727272727273</v>
      </c>
      <c r="O63" s="1"/>
    </row>
    <row r="65" spans="1:14" x14ac:dyDescent="0.3">
      <c r="A65" t="s">
        <v>153</v>
      </c>
      <c r="B65" t="s">
        <v>161</v>
      </c>
      <c r="C65" t="s">
        <v>180</v>
      </c>
      <c r="D65" t="s">
        <v>52</v>
      </c>
      <c r="E65" t="s">
        <v>54</v>
      </c>
      <c r="F65" t="s">
        <v>27</v>
      </c>
      <c r="G65" t="s">
        <v>289</v>
      </c>
      <c r="H65" t="s">
        <v>232</v>
      </c>
      <c r="I65" t="s">
        <v>202</v>
      </c>
      <c r="J65" t="s">
        <v>162</v>
      </c>
      <c r="K65" t="s">
        <v>44</v>
      </c>
      <c r="L65" t="s">
        <v>45</v>
      </c>
    </row>
    <row r="66" spans="1:14" x14ac:dyDescent="0.3">
      <c r="B66">
        <f ca="1">DATEDIF(VLOOKUP(B65,$P$18:$Q$100,2,FALSE),TODAY(),"Y")</f>
        <v>21</v>
      </c>
      <c r="C66">
        <f t="shared" ref="C66:L66" ca="1" si="21">DATEDIF(VLOOKUP(C65,$P$18:$Q$100,2,FALSE),TODAY(),"Y")</f>
        <v>19</v>
      </c>
      <c r="D66">
        <f t="shared" ca="1" si="21"/>
        <v>20</v>
      </c>
      <c r="E66">
        <f t="shared" ca="1" si="21"/>
        <v>18</v>
      </c>
      <c r="F66">
        <f t="shared" ca="1" si="21"/>
        <v>21</v>
      </c>
      <c r="G66">
        <f t="shared" ca="1" si="21"/>
        <v>18</v>
      </c>
      <c r="H66">
        <f t="shared" ca="1" si="21"/>
        <v>21</v>
      </c>
      <c r="I66">
        <f t="shared" ca="1" si="21"/>
        <v>18</v>
      </c>
      <c r="J66">
        <f t="shared" ca="1" si="21"/>
        <v>19</v>
      </c>
      <c r="K66">
        <f t="shared" ca="1" si="21"/>
        <v>19</v>
      </c>
      <c r="L66">
        <f t="shared" ca="1" si="21"/>
        <v>19</v>
      </c>
      <c r="N66" s="1">
        <f ca="1">AVERAGE(B66:M66)</f>
        <v>19.363636363636363</v>
      </c>
    </row>
    <row r="68" spans="1:14" x14ac:dyDescent="0.3">
      <c r="A68" t="s">
        <v>181</v>
      </c>
      <c r="B68" t="s">
        <v>161</v>
      </c>
      <c r="C68" t="s">
        <v>180</v>
      </c>
      <c r="D68" t="s">
        <v>52</v>
      </c>
      <c r="E68" t="s">
        <v>54</v>
      </c>
      <c r="F68" t="s">
        <v>27</v>
      </c>
      <c r="G68" t="s">
        <v>315</v>
      </c>
      <c r="H68" t="s">
        <v>48</v>
      </c>
      <c r="I68" t="s">
        <v>202</v>
      </c>
      <c r="J68" t="s">
        <v>288</v>
      </c>
      <c r="K68" t="s">
        <v>316</v>
      </c>
      <c r="L68" t="s">
        <v>45</v>
      </c>
    </row>
    <row r="69" spans="1:14" x14ac:dyDescent="0.3">
      <c r="B69">
        <f ca="1">DATEDIF(VLOOKUP(B68,$P$18:$Q$100,2,FALSE),TODAY(),"Y")</f>
        <v>21</v>
      </c>
      <c r="C69">
        <f t="shared" ref="C69:L69" ca="1" si="22">DATEDIF(VLOOKUP(C68,$P$18:$Q$100,2,FALSE),TODAY(),"Y")</f>
        <v>19</v>
      </c>
      <c r="D69">
        <f t="shared" ca="1" si="22"/>
        <v>20</v>
      </c>
      <c r="E69">
        <f t="shared" ca="1" si="22"/>
        <v>18</v>
      </c>
      <c r="F69">
        <f t="shared" ca="1" si="22"/>
        <v>21</v>
      </c>
      <c r="G69">
        <f t="shared" ca="1" si="22"/>
        <v>17</v>
      </c>
      <c r="H69">
        <f t="shared" ca="1" si="22"/>
        <v>20</v>
      </c>
      <c r="I69">
        <f t="shared" ca="1" si="22"/>
        <v>18</v>
      </c>
      <c r="J69">
        <f t="shared" ca="1" si="22"/>
        <v>20</v>
      </c>
      <c r="K69">
        <f t="shared" ca="1" si="22"/>
        <v>17</v>
      </c>
      <c r="L69">
        <f t="shared" ca="1" si="22"/>
        <v>19</v>
      </c>
      <c r="N69" s="1">
        <f ca="1">AVERAGE(B69:M69)</f>
        <v>19.09090909090909</v>
      </c>
    </row>
    <row r="71" spans="1:14" x14ac:dyDescent="0.3">
      <c r="A71" t="s">
        <v>231</v>
      </c>
      <c r="B71" t="s">
        <v>161</v>
      </c>
      <c r="C71" t="s">
        <v>180</v>
      </c>
      <c r="D71" t="s">
        <v>52</v>
      </c>
      <c r="E71" t="s">
        <v>54</v>
      </c>
      <c r="F71" t="s">
        <v>268</v>
      </c>
      <c r="G71" t="s">
        <v>289</v>
      </c>
      <c r="H71" t="s">
        <v>162</v>
      </c>
      <c r="I71" t="s">
        <v>44</v>
      </c>
      <c r="J71" t="s">
        <v>288</v>
      </c>
      <c r="K71" t="s">
        <v>232</v>
      </c>
      <c r="L71" t="s">
        <v>42</v>
      </c>
    </row>
    <row r="72" spans="1:14" x14ac:dyDescent="0.3">
      <c r="B72">
        <f ca="1">DATEDIF(VLOOKUP(B71,$P$18:$Q$100,2,FALSE),TODAY(),"Y")</f>
        <v>21</v>
      </c>
      <c r="C72">
        <f t="shared" ref="C72:L72" ca="1" si="23">DATEDIF(VLOOKUP(C71,$P$18:$Q$100,2,FALSE),TODAY(),"Y")</f>
        <v>19</v>
      </c>
      <c r="D72">
        <f t="shared" ca="1" si="23"/>
        <v>20</v>
      </c>
      <c r="E72">
        <f t="shared" ca="1" si="23"/>
        <v>18</v>
      </c>
      <c r="F72">
        <f t="shared" ca="1" si="23"/>
        <v>22</v>
      </c>
      <c r="G72">
        <f t="shared" ca="1" si="23"/>
        <v>18</v>
      </c>
      <c r="H72">
        <f t="shared" ca="1" si="23"/>
        <v>19</v>
      </c>
      <c r="I72">
        <f t="shared" ca="1" si="23"/>
        <v>19</v>
      </c>
      <c r="J72">
        <f t="shared" ca="1" si="23"/>
        <v>20</v>
      </c>
      <c r="K72">
        <f t="shared" ca="1" si="23"/>
        <v>21</v>
      </c>
      <c r="L72">
        <f t="shared" ca="1" si="23"/>
        <v>18</v>
      </c>
      <c r="N72" s="1">
        <f ca="1">AVERAGE(B72:M72)</f>
        <v>19.545454545454547</v>
      </c>
    </row>
    <row r="74" spans="1:14" x14ac:dyDescent="0.3">
      <c r="A74" t="s">
        <v>177</v>
      </c>
      <c r="B74" t="s">
        <v>161</v>
      </c>
      <c r="C74" t="s">
        <v>180</v>
      </c>
      <c r="D74" t="s">
        <v>52</v>
      </c>
      <c r="E74" t="s">
        <v>54</v>
      </c>
      <c r="F74" t="s">
        <v>268</v>
      </c>
      <c r="G74" t="s">
        <v>289</v>
      </c>
      <c r="H74" t="s">
        <v>162</v>
      </c>
      <c r="I74" t="s">
        <v>44</v>
      </c>
      <c r="J74" t="s">
        <v>288</v>
      </c>
      <c r="K74" t="s">
        <v>232</v>
      </c>
      <c r="L74" t="s">
        <v>42</v>
      </c>
    </row>
    <row r="75" spans="1:14" x14ac:dyDescent="0.3">
      <c r="B75">
        <f ca="1">DATEDIF(VLOOKUP(B74,$P$18:$Q$100,2,FALSE),TODAY(),"Y")</f>
        <v>21</v>
      </c>
      <c r="C75">
        <f t="shared" ref="C75:L75" ca="1" si="24">DATEDIF(VLOOKUP(C74,$P$18:$Q$100,2,FALSE),TODAY(),"Y")</f>
        <v>19</v>
      </c>
      <c r="D75">
        <f t="shared" ca="1" si="24"/>
        <v>20</v>
      </c>
      <c r="E75">
        <f t="shared" ca="1" si="24"/>
        <v>18</v>
      </c>
      <c r="F75">
        <f t="shared" ca="1" si="24"/>
        <v>22</v>
      </c>
      <c r="G75">
        <f t="shared" ca="1" si="24"/>
        <v>18</v>
      </c>
      <c r="H75">
        <f t="shared" ca="1" si="24"/>
        <v>19</v>
      </c>
      <c r="I75">
        <f t="shared" ca="1" si="24"/>
        <v>19</v>
      </c>
      <c r="J75">
        <f t="shared" ca="1" si="24"/>
        <v>20</v>
      </c>
      <c r="K75">
        <f t="shared" ca="1" si="24"/>
        <v>21</v>
      </c>
      <c r="L75">
        <f t="shared" ca="1" si="24"/>
        <v>18</v>
      </c>
      <c r="N75" s="1">
        <f ca="1">AVERAGE(B75:M75)</f>
        <v>19.545454545454547</v>
      </c>
    </row>
    <row r="77" spans="1:14" x14ac:dyDescent="0.3">
      <c r="A77" t="s">
        <v>55</v>
      </c>
      <c r="B77" t="s">
        <v>161</v>
      </c>
      <c r="C77" t="s">
        <v>180</v>
      </c>
      <c r="D77" t="s">
        <v>52</v>
      </c>
      <c r="E77" t="s">
        <v>54</v>
      </c>
      <c r="F77" t="s">
        <v>268</v>
      </c>
      <c r="G77" t="s">
        <v>48</v>
      </c>
      <c r="H77" t="s">
        <v>162</v>
      </c>
      <c r="I77" t="s">
        <v>316</v>
      </c>
      <c r="J77" t="s">
        <v>288</v>
      </c>
      <c r="K77" t="s">
        <v>232</v>
      </c>
      <c r="L77" t="s">
        <v>42</v>
      </c>
    </row>
    <row r="78" spans="1:14" x14ac:dyDescent="0.3">
      <c r="B78">
        <f ca="1">DATEDIF(VLOOKUP(B77,$P$18:$Q$100,2,FALSE),TODAY(),"Y")</f>
        <v>21</v>
      </c>
      <c r="C78">
        <f t="shared" ref="C78:L78" ca="1" si="25">DATEDIF(VLOOKUP(C77,$P$18:$Q$100,2,FALSE),TODAY(),"Y")</f>
        <v>19</v>
      </c>
      <c r="D78">
        <f t="shared" ca="1" si="25"/>
        <v>20</v>
      </c>
      <c r="E78">
        <f t="shared" ca="1" si="25"/>
        <v>18</v>
      </c>
      <c r="F78">
        <f t="shared" ca="1" si="25"/>
        <v>22</v>
      </c>
      <c r="G78">
        <f t="shared" ca="1" si="25"/>
        <v>20</v>
      </c>
      <c r="H78">
        <f t="shared" ca="1" si="25"/>
        <v>19</v>
      </c>
      <c r="I78">
        <f t="shared" ca="1" si="25"/>
        <v>17</v>
      </c>
      <c r="J78">
        <f t="shared" ca="1" si="25"/>
        <v>20</v>
      </c>
      <c r="K78">
        <f t="shared" ca="1" si="25"/>
        <v>21</v>
      </c>
      <c r="L78">
        <f t="shared" ca="1" si="25"/>
        <v>18</v>
      </c>
      <c r="N78" s="1">
        <f ca="1">AVERAGE(B78:M78)</f>
        <v>19.545454545454547</v>
      </c>
    </row>
    <row r="80" spans="1:14" x14ac:dyDescent="0.3">
      <c r="A80" t="s">
        <v>109</v>
      </c>
      <c r="B80" t="s">
        <v>47</v>
      </c>
      <c r="C80" t="s">
        <v>44</v>
      </c>
      <c r="D80" t="s">
        <v>52</v>
      </c>
      <c r="E80" t="s">
        <v>54</v>
      </c>
      <c r="F80" t="s">
        <v>268</v>
      </c>
      <c r="G80" t="s">
        <v>48</v>
      </c>
      <c r="H80" t="s">
        <v>162</v>
      </c>
      <c r="I80" t="s">
        <v>289</v>
      </c>
      <c r="J80" t="s">
        <v>288</v>
      </c>
      <c r="K80" t="s">
        <v>56</v>
      </c>
      <c r="L80" t="s">
        <v>42</v>
      </c>
    </row>
    <row r="81" spans="1:14" x14ac:dyDescent="0.3">
      <c r="B81">
        <f ca="1">DATEDIF(VLOOKUP(B80,$P$18:$Q$100,2,FALSE),TODAY(),"Y")</f>
        <v>20</v>
      </c>
      <c r="C81">
        <f t="shared" ref="C81:L81" ca="1" si="26">DATEDIF(VLOOKUP(C80,$P$18:$Q$100,2,FALSE),TODAY(),"Y")</f>
        <v>19</v>
      </c>
      <c r="D81">
        <f t="shared" ca="1" si="26"/>
        <v>20</v>
      </c>
      <c r="E81">
        <f t="shared" ca="1" si="26"/>
        <v>18</v>
      </c>
      <c r="F81">
        <f t="shared" ca="1" si="26"/>
        <v>22</v>
      </c>
      <c r="G81">
        <f t="shared" ca="1" si="26"/>
        <v>20</v>
      </c>
      <c r="H81">
        <f t="shared" ca="1" si="26"/>
        <v>19</v>
      </c>
      <c r="I81">
        <f t="shared" ca="1" si="26"/>
        <v>18</v>
      </c>
      <c r="J81">
        <f t="shared" ca="1" si="26"/>
        <v>20</v>
      </c>
      <c r="K81">
        <f t="shared" ca="1" si="26"/>
        <v>20</v>
      </c>
      <c r="L81">
        <f t="shared" ca="1" si="26"/>
        <v>18</v>
      </c>
      <c r="N81" s="1">
        <f ca="1">AVERAGE(B81:M81)</f>
        <v>19.454545454545453</v>
      </c>
    </row>
    <row r="83" spans="1:14" x14ac:dyDescent="0.3">
      <c r="A83" t="s">
        <v>169</v>
      </c>
      <c r="B83" t="s">
        <v>161</v>
      </c>
      <c r="C83" t="s">
        <v>54</v>
      </c>
      <c r="D83" t="s">
        <v>232</v>
      </c>
      <c r="E83" t="s">
        <v>52</v>
      </c>
      <c r="F83" t="s">
        <v>44</v>
      </c>
      <c r="G83" t="s">
        <v>288</v>
      </c>
      <c r="H83" t="s">
        <v>42</v>
      </c>
      <c r="I83" t="s">
        <v>180</v>
      </c>
      <c r="J83" t="s">
        <v>162</v>
      </c>
      <c r="K83" t="s">
        <v>289</v>
      </c>
      <c r="L83" t="s">
        <v>268</v>
      </c>
    </row>
    <row r="84" spans="1:14" x14ac:dyDescent="0.3">
      <c r="B84">
        <f ca="1">DATEDIF(VLOOKUP(B83,$P$18:$Q$100,2,FALSE),TODAY(),"Y")</f>
        <v>21</v>
      </c>
      <c r="C84">
        <f t="shared" ref="C84:L84" ca="1" si="27">DATEDIF(VLOOKUP(C83,$P$18:$Q$100,2,FALSE),TODAY(),"Y")</f>
        <v>18</v>
      </c>
      <c r="D84">
        <f t="shared" ca="1" si="27"/>
        <v>21</v>
      </c>
      <c r="E84">
        <f t="shared" ca="1" si="27"/>
        <v>20</v>
      </c>
      <c r="F84">
        <f t="shared" ca="1" si="27"/>
        <v>19</v>
      </c>
      <c r="G84">
        <f t="shared" ca="1" si="27"/>
        <v>20</v>
      </c>
      <c r="H84">
        <f t="shared" ca="1" si="27"/>
        <v>18</v>
      </c>
      <c r="I84">
        <f t="shared" ca="1" si="27"/>
        <v>19</v>
      </c>
      <c r="J84">
        <f t="shared" ca="1" si="27"/>
        <v>19</v>
      </c>
      <c r="K84">
        <f t="shared" ca="1" si="27"/>
        <v>18</v>
      </c>
      <c r="L84">
        <f t="shared" ca="1" si="27"/>
        <v>22</v>
      </c>
      <c r="N84" s="1">
        <f ca="1">AVERAGE(B84:M84)</f>
        <v>19.545454545454547</v>
      </c>
    </row>
    <row r="86" spans="1:14" x14ac:dyDescent="0.3">
      <c r="A86" t="s">
        <v>50</v>
      </c>
      <c r="B86" t="s">
        <v>346</v>
      </c>
      <c r="C86" t="s">
        <v>54</v>
      </c>
      <c r="D86" t="s">
        <v>202</v>
      </c>
      <c r="E86" t="s">
        <v>52</v>
      </c>
      <c r="F86" t="s">
        <v>45</v>
      </c>
      <c r="G86" t="s">
        <v>288</v>
      </c>
      <c r="H86" t="s">
        <v>42</v>
      </c>
      <c r="I86" t="s">
        <v>180</v>
      </c>
      <c r="J86" t="s">
        <v>162</v>
      </c>
      <c r="K86" t="s">
        <v>289</v>
      </c>
      <c r="L86" t="s">
        <v>48</v>
      </c>
    </row>
    <row r="87" spans="1:14" x14ac:dyDescent="0.3">
      <c r="B87">
        <f ca="1">DATEDIF(VLOOKUP(B86,$P$18:$Q$100,2,FALSE),TODAY(),"Y")</f>
        <v>33</v>
      </c>
      <c r="C87">
        <f t="shared" ref="C87:L87" ca="1" si="28">DATEDIF(VLOOKUP(C86,$P$18:$Q$100,2,FALSE),TODAY(),"Y")</f>
        <v>18</v>
      </c>
      <c r="D87">
        <f t="shared" ca="1" si="28"/>
        <v>18</v>
      </c>
      <c r="E87">
        <f t="shared" ca="1" si="28"/>
        <v>20</v>
      </c>
      <c r="F87">
        <f t="shared" ca="1" si="28"/>
        <v>19</v>
      </c>
      <c r="G87">
        <f t="shared" ca="1" si="28"/>
        <v>20</v>
      </c>
      <c r="H87">
        <f t="shared" ca="1" si="28"/>
        <v>18</v>
      </c>
      <c r="I87">
        <f t="shared" ca="1" si="28"/>
        <v>19</v>
      </c>
      <c r="J87">
        <f t="shared" ca="1" si="28"/>
        <v>19</v>
      </c>
      <c r="K87">
        <f t="shared" ca="1" si="28"/>
        <v>18</v>
      </c>
      <c r="L87">
        <f t="shared" ca="1" si="28"/>
        <v>20</v>
      </c>
      <c r="N87" s="1">
        <f ca="1">AVERAGE(B87:M87)</f>
        <v>20.181818181818183</v>
      </c>
    </row>
  </sheetData>
  <pageMargins left="0.7" right="0.7" top="0.78740157499999996" bottom="0.78740157499999996" header="0.3" footer="0.3"/>
  <pageSetup paperSize="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6E26-4348-4BD7-A4C3-5653B1514462}">
  <dimension ref="A1:T87"/>
  <sheetViews>
    <sheetView topLeftCell="A16" workbookViewId="0">
      <selection activeCell="T19" sqref="T19"/>
    </sheetView>
  </sheetViews>
  <sheetFormatPr baseColWidth="10" defaultRowHeight="14.4" x14ac:dyDescent="0.3"/>
  <cols>
    <col min="1" max="1" width="13" customWidth="1"/>
    <col min="2" max="2" width="14.6640625" customWidth="1"/>
    <col min="5" max="5" width="13.33203125" bestFit="1" customWidth="1"/>
    <col min="11" max="11" width="13.33203125" bestFit="1" customWidth="1"/>
    <col min="16" max="16" width="14.21875" customWidth="1"/>
  </cols>
  <sheetData>
    <row r="1" spans="1:14" x14ac:dyDescent="0.3">
      <c r="N1" s="1">
        <f ca="1">AVERAGE(N3:N99)</f>
        <v>19.561128526645771</v>
      </c>
    </row>
    <row r="2" spans="1:14" x14ac:dyDescent="0.3">
      <c r="A2" t="s">
        <v>55</v>
      </c>
      <c r="B2" t="s">
        <v>98</v>
      </c>
      <c r="C2" t="s">
        <v>62</v>
      </c>
      <c r="D2" t="s">
        <v>73</v>
      </c>
      <c r="E2" t="s">
        <v>63</v>
      </c>
      <c r="F2" t="s">
        <v>99</v>
      </c>
      <c r="G2" t="s">
        <v>100</v>
      </c>
      <c r="H2" t="s">
        <v>58</v>
      </c>
      <c r="I2" t="s">
        <v>72</v>
      </c>
      <c r="J2" t="s">
        <v>59</v>
      </c>
      <c r="K2" t="s">
        <v>64</v>
      </c>
      <c r="L2" t="s">
        <v>61</v>
      </c>
      <c r="N2" s="1"/>
    </row>
    <row r="3" spans="1:14" x14ac:dyDescent="0.3">
      <c r="B3">
        <f ca="1">DATEDIF(VLOOKUP(B2,$P$18:$Q$100,2,FALSE),TODAY(),"Y")</f>
        <v>19</v>
      </c>
      <c r="C3">
        <f t="shared" ref="C3:L3" ca="1" si="0">DATEDIF(VLOOKUP(C2,$P$18:$Q$100,2,FALSE),TODAY(),"Y")</f>
        <v>20</v>
      </c>
      <c r="D3">
        <f t="shared" ca="1" si="0"/>
        <v>18</v>
      </c>
      <c r="E3">
        <f t="shared" ca="1" si="0"/>
        <v>21</v>
      </c>
      <c r="F3">
        <f t="shared" ca="1" si="0"/>
        <v>20</v>
      </c>
      <c r="G3">
        <f t="shared" ca="1" si="0"/>
        <v>20</v>
      </c>
      <c r="H3">
        <f t="shared" ca="1" si="0"/>
        <v>20</v>
      </c>
      <c r="I3">
        <f t="shared" ca="1" si="0"/>
        <v>18</v>
      </c>
      <c r="J3">
        <f t="shared" ca="1" si="0"/>
        <v>19</v>
      </c>
      <c r="K3">
        <f t="shared" ca="1" si="0"/>
        <v>19</v>
      </c>
      <c r="L3">
        <f t="shared" ca="1" si="0"/>
        <v>20</v>
      </c>
      <c r="N3" s="1">
        <f ca="1">AVERAGE(B3:M3)</f>
        <v>19.454545454545453</v>
      </c>
    </row>
    <row r="5" spans="1:14" x14ac:dyDescent="0.3">
      <c r="A5" t="s">
        <v>49</v>
      </c>
      <c r="B5" t="s">
        <v>98</v>
      </c>
      <c r="C5" t="s">
        <v>62</v>
      </c>
      <c r="D5" t="s">
        <v>114</v>
      </c>
      <c r="E5" t="s">
        <v>63</v>
      </c>
      <c r="F5" t="s">
        <v>115</v>
      </c>
      <c r="G5" t="s">
        <v>100</v>
      </c>
      <c r="H5" t="s">
        <v>58</v>
      </c>
      <c r="I5" t="s">
        <v>72</v>
      </c>
      <c r="J5" t="s">
        <v>59</v>
      </c>
      <c r="K5" t="s">
        <v>64</v>
      </c>
      <c r="L5" t="s">
        <v>61</v>
      </c>
      <c r="N5" s="1"/>
    </row>
    <row r="6" spans="1:14" x14ac:dyDescent="0.3">
      <c r="B6">
        <f ca="1">DATEDIF(VLOOKUP(B5,$P$18:$Q$100,2,FALSE),TODAY(),"Y")</f>
        <v>19</v>
      </c>
      <c r="C6">
        <f t="shared" ref="C6:L6" ca="1" si="1">DATEDIF(VLOOKUP(C5,$P$18:$Q$100,2,FALSE),TODAY(),"Y")</f>
        <v>20</v>
      </c>
      <c r="D6">
        <f t="shared" ca="1" si="1"/>
        <v>21</v>
      </c>
      <c r="E6">
        <f t="shared" ca="1" si="1"/>
        <v>21</v>
      </c>
      <c r="F6">
        <f t="shared" ca="1" si="1"/>
        <v>19</v>
      </c>
      <c r="G6">
        <f t="shared" ca="1" si="1"/>
        <v>20</v>
      </c>
      <c r="H6">
        <f t="shared" ca="1" si="1"/>
        <v>20</v>
      </c>
      <c r="I6">
        <f t="shared" ca="1" si="1"/>
        <v>18</v>
      </c>
      <c r="J6">
        <f t="shared" ca="1" si="1"/>
        <v>19</v>
      </c>
      <c r="K6">
        <f t="shared" ca="1" si="1"/>
        <v>19</v>
      </c>
      <c r="L6">
        <f t="shared" ca="1" si="1"/>
        <v>20</v>
      </c>
      <c r="N6" s="1">
        <f ca="1">AVERAGE(B6:M6)</f>
        <v>19.636363636363637</v>
      </c>
    </row>
    <row r="8" spans="1:14" x14ac:dyDescent="0.3">
      <c r="A8" t="s">
        <v>50</v>
      </c>
      <c r="B8" t="s">
        <v>98</v>
      </c>
      <c r="C8" t="s">
        <v>62</v>
      </c>
      <c r="D8" t="s">
        <v>114</v>
      </c>
      <c r="E8" t="s">
        <v>63</v>
      </c>
      <c r="F8" t="s">
        <v>115</v>
      </c>
      <c r="G8" t="s">
        <v>100</v>
      </c>
      <c r="H8" t="s">
        <v>58</v>
      </c>
      <c r="I8" t="s">
        <v>146</v>
      </c>
      <c r="J8" t="s">
        <v>59</v>
      </c>
      <c r="K8" t="s">
        <v>64</v>
      </c>
      <c r="L8" t="s">
        <v>61</v>
      </c>
      <c r="N8" s="1"/>
    </row>
    <row r="9" spans="1:14" x14ac:dyDescent="0.3">
      <c r="B9">
        <f ca="1">DATEDIF(VLOOKUP(B8,$P$18:$Q$100,2,FALSE),TODAY(),"Y")</f>
        <v>19</v>
      </c>
      <c r="C9">
        <f t="shared" ref="C9:L9" ca="1" si="2">DATEDIF(VLOOKUP(C8,$P$18:$Q$100,2,FALSE),TODAY(),"Y")</f>
        <v>20</v>
      </c>
      <c r="D9">
        <f t="shared" ca="1" si="2"/>
        <v>21</v>
      </c>
      <c r="E9">
        <f t="shared" ca="1" si="2"/>
        <v>21</v>
      </c>
      <c r="F9">
        <f t="shared" ca="1" si="2"/>
        <v>19</v>
      </c>
      <c r="G9">
        <f t="shared" ca="1" si="2"/>
        <v>20</v>
      </c>
      <c r="H9">
        <f t="shared" ca="1" si="2"/>
        <v>20</v>
      </c>
      <c r="I9">
        <f t="shared" ca="1" si="2"/>
        <v>19</v>
      </c>
      <c r="J9">
        <f t="shared" ca="1" si="2"/>
        <v>19</v>
      </c>
      <c r="K9">
        <f t="shared" ca="1" si="2"/>
        <v>19</v>
      </c>
      <c r="L9">
        <f t="shared" ca="1" si="2"/>
        <v>20</v>
      </c>
      <c r="N9" s="1">
        <f ca="1">AVERAGE(B9:M9)</f>
        <v>19.727272727272727</v>
      </c>
    </row>
    <row r="11" spans="1:14" x14ac:dyDescent="0.3">
      <c r="A11" t="s">
        <v>169</v>
      </c>
      <c r="B11" t="s">
        <v>224</v>
      </c>
      <c r="C11" t="s">
        <v>62</v>
      </c>
      <c r="D11" t="s">
        <v>114</v>
      </c>
      <c r="E11" t="s">
        <v>63</v>
      </c>
      <c r="F11" t="s">
        <v>115</v>
      </c>
      <c r="G11" t="s">
        <v>100</v>
      </c>
      <c r="H11" t="s">
        <v>58</v>
      </c>
      <c r="I11" t="s">
        <v>72</v>
      </c>
      <c r="J11" t="s">
        <v>59</v>
      </c>
      <c r="K11" t="s">
        <v>64</v>
      </c>
      <c r="L11" t="s">
        <v>61</v>
      </c>
      <c r="N11" s="1"/>
    </row>
    <row r="12" spans="1:14" x14ac:dyDescent="0.3">
      <c r="B12">
        <f ca="1">DATEDIF(VLOOKUP(B11,$P$18:$Q$100,2,FALSE),TODAY(),"Y")</f>
        <v>19</v>
      </c>
      <c r="C12">
        <f t="shared" ref="C12:L12" ca="1" si="3">DATEDIF(VLOOKUP(C11,$P$18:$Q$100,2,FALSE),TODAY(),"Y")</f>
        <v>20</v>
      </c>
      <c r="D12">
        <f t="shared" ca="1" si="3"/>
        <v>21</v>
      </c>
      <c r="E12">
        <f t="shared" ca="1" si="3"/>
        <v>21</v>
      </c>
      <c r="F12">
        <f t="shared" ca="1" si="3"/>
        <v>19</v>
      </c>
      <c r="G12">
        <f t="shared" ca="1" si="3"/>
        <v>20</v>
      </c>
      <c r="H12">
        <f t="shared" ca="1" si="3"/>
        <v>20</v>
      </c>
      <c r="I12">
        <f t="shared" ca="1" si="3"/>
        <v>18</v>
      </c>
      <c r="J12">
        <f t="shared" ca="1" si="3"/>
        <v>19</v>
      </c>
      <c r="K12">
        <f t="shared" ca="1" si="3"/>
        <v>19</v>
      </c>
      <c r="L12">
        <f t="shared" ca="1" si="3"/>
        <v>20</v>
      </c>
      <c r="N12" s="1">
        <f ca="1">AVERAGE(B12:M12)</f>
        <v>19.636363636363637</v>
      </c>
    </row>
    <row r="14" spans="1:14" x14ac:dyDescent="0.3">
      <c r="A14" t="s">
        <v>53</v>
      </c>
      <c r="B14" t="s">
        <v>224</v>
      </c>
      <c r="C14" t="s">
        <v>62</v>
      </c>
      <c r="D14" t="s">
        <v>114</v>
      </c>
      <c r="E14" t="s">
        <v>63</v>
      </c>
      <c r="F14" t="s">
        <v>115</v>
      </c>
      <c r="G14" t="s">
        <v>100</v>
      </c>
      <c r="H14" t="s">
        <v>58</v>
      </c>
      <c r="I14" t="s">
        <v>72</v>
      </c>
      <c r="J14" t="s">
        <v>59</v>
      </c>
      <c r="K14" t="s">
        <v>146</v>
      </c>
      <c r="L14" t="s">
        <v>61</v>
      </c>
      <c r="N14" s="1"/>
    </row>
    <row r="15" spans="1:14" x14ac:dyDescent="0.3">
      <c r="B15">
        <f ca="1">DATEDIF(VLOOKUP(B14,$P$18:$Q$100,2,FALSE),TODAY(),"Y")</f>
        <v>19</v>
      </c>
      <c r="C15">
        <f t="shared" ref="C15:L15" ca="1" si="4">DATEDIF(VLOOKUP(C14,$P$18:$Q$100,2,FALSE),TODAY(),"Y")</f>
        <v>20</v>
      </c>
      <c r="D15">
        <f t="shared" ca="1" si="4"/>
        <v>21</v>
      </c>
      <c r="E15">
        <f t="shared" ca="1" si="4"/>
        <v>21</v>
      </c>
      <c r="F15">
        <f t="shared" ca="1" si="4"/>
        <v>19</v>
      </c>
      <c r="G15">
        <f t="shared" ca="1" si="4"/>
        <v>20</v>
      </c>
      <c r="H15">
        <f t="shared" ca="1" si="4"/>
        <v>20</v>
      </c>
      <c r="I15">
        <f t="shared" ca="1" si="4"/>
        <v>18</v>
      </c>
      <c r="J15">
        <f t="shared" ca="1" si="4"/>
        <v>19</v>
      </c>
      <c r="K15">
        <f t="shared" ca="1" si="4"/>
        <v>19</v>
      </c>
      <c r="L15">
        <f t="shared" ca="1" si="4"/>
        <v>20</v>
      </c>
      <c r="N15" s="1">
        <f ca="1">AVERAGE(B15:M15)</f>
        <v>19.636363636363637</v>
      </c>
    </row>
    <row r="17" spans="1:20" x14ac:dyDescent="0.3">
      <c r="A17" t="s">
        <v>203</v>
      </c>
      <c r="B17" t="s">
        <v>224</v>
      </c>
      <c r="C17" t="s">
        <v>62</v>
      </c>
      <c r="D17" t="s">
        <v>114</v>
      </c>
      <c r="E17" t="s">
        <v>204</v>
      </c>
      <c r="F17" t="s">
        <v>205</v>
      </c>
      <c r="G17" t="s">
        <v>100</v>
      </c>
      <c r="H17" t="s">
        <v>58</v>
      </c>
      <c r="I17" t="s">
        <v>72</v>
      </c>
      <c r="J17" t="s">
        <v>59</v>
      </c>
      <c r="K17" t="s">
        <v>206</v>
      </c>
      <c r="L17" t="s">
        <v>61</v>
      </c>
      <c r="N17" s="1"/>
    </row>
    <row r="18" spans="1:20" x14ac:dyDescent="0.3">
      <c r="B18">
        <f ca="1">DATEDIF(VLOOKUP(B17,$P$18:$Q$100,2,FALSE),TODAY(),"Y")</f>
        <v>19</v>
      </c>
      <c r="C18">
        <f t="shared" ref="C18:L18" ca="1" si="5">DATEDIF(VLOOKUP(C17,$P$18:$Q$100,2,FALSE),TODAY(),"Y")</f>
        <v>20</v>
      </c>
      <c r="D18">
        <f t="shared" ca="1" si="5"/>
        <v>21</v>
      </c>
      <c r="E18">
        <f t="shared" ca="1" si="5"/>
        <v>19</v>
      </c>
      <c r="F18">
        <f t="shared" ca="1" si="5"/>
        <v>20</v>
      </c>
      <c r="G18">
        <f t="shared" ca="1" si="5"/>
        <v>20</v>
      </c>
      <c r="H18">
        <f t="shared" ca="1" si="5"/>
        <v>20</v>
      </c>
      <c r="I18">
        <f t="shared" ca="1" si="5"/>
        <v>18</v>
      </c>
      <c r="J18">
        <f t="shared" ca="1" si="5"/>
        <v>19</v>
      </c>
      <c r="K18">
        <f t="shared" ca="1" si="5"/>
        <v>20</v>
      </c>
      <c r="L18">
        <f t="shared" ca="1" si="5"/>
        <v>20</v>
      </c>
      <c r="N18" s="1">
        <f ca="1">AVERAGE(B18:M18)</f>
        <v>19.636363636363637</v>
      </c>
      <c r="P18" t="s">
        <v>98</v>
      </c>
      <c r="Q18" s="6">
        <v>39078</v>
      </c>
      <c r="T18">
        <v>35</v>
      </c>
    </row>
    <row r="19" spans="1:20" x14ac:dyDescent="0.3">
      <c r="P19" t="s">
        <v>63</v>
      </c>
      <c r="Q19" s="6">
        <v>38409</v>
      </c>
    </row>
    <row r="20" spans="1:20" x14ac:dyDescent="0.3">
      <c r="A20" t="s">
        <v>177</v>
      </c>
      <c r="B20" t="s">
        <v>212</v>
      </c>
      <c r="C20" t="s">
        <v>213</v>
      </c>
      <c r="D20" t="s">
        <v>114</v>
      </c>
      <c r="E20" t="s">
        <v>214</v>
      </c>
      <c r="F20" t="s">
        <v>215</v>
      </c>
      <c r="G20" t="s">
        <v>100</v>
      </c>
      <c r="H20" t="s">
        <v>146</v>
      </c>
      <c r="I20" t="s">
        <v>72</v>
      </c>
      <c r="J20" t="s">
        <v>59</v>
      </c>
      <c r="K20" t="s">
        <v>216</v>
      </c>
      <c r="L20" t="s">
        <v>61</v>
      </c>
      <c r="N20" s="1"/>
      <c r="P20" t="s">
        <v>73</v>
      </c>
      <c r="Q20" s="6">
        <v>39501</v>
      </c>
    </row>
    <row r="21" spans="1:20" x14ac:dyDescent="0.3">
      <c r="B21">
        <f ca="1">DATEDIF(VLOOKUP(B20,$P$18:$Q$100,2,FALSE),TODAY(),"Y")</f>
        <v>19</v>
      </c>
      <c r="C21">
        <f t="shared" ref="C21:L21" ca="1" si="6">DATEDIF(VLOOKUP(C20,$P$18:$Q$100,2,FALSE),TODAY(),"Y")</f>
        <v>19</v>
      </c>
      <c r="D21">
        <f t="shared" ca="1" si="6"/>
        <v>21</v>
      </c>
      <c r="E21">
        <f t="shared" ca="1" si="6"/>
        <v>19</v>
      </c>
      <c r="F21">
        <f t="shared" ca="1" si="6"/>
        <v>21</v>
      </c>
      <c r="G21">
        <f t="shared" ca="1" si="6"/>
        <v>20</v>
      </c>
      <c r="H21">
        <f t="shared" ca="1" si="6"/>
        <v>19</v>
      </c>
      <c r="I21">
        <f t="shared" ca="1" si="6"/>
        <v>18</v>
      </c>
      <c r="J21">
        <f t="shared" ca="1" si="6"/>
        <v>19</v>
      </c>
      <c r="K21">
        <f t="shared" ca="1" si="6"/>
        <v>20</v>
      </c>
      <c r="L21">
        <f t="shared" ca="1" si="6"/>
        <v>20</v>
      </c>
      <c r="N21" s="1">
        <f ca="1">AVERAGE(B21:M21)</f>
        <v>19.545454545454547</v>
      </c>
      <c r="P21" t="s">
        <v>62</v>
      </c>
      <c r="Q21" s="6">
        <v>38778</v>
      </c>
    </row>
    <row r="22" spans="1:20" x14ac:dyDescent="0.3">
      <c r="P22" t="s">
        <v>58</v>
      </c>
      <c r="Q22" s="6">
        <v>38775</v>
      </c>
    </row>
    <row r="23" spans="1:20" x14ac:dyDescent="0.3">
      <c r="A23" t="s">
        <v>223</v>
      </c>
      <c r="B23" t="s">
        <v>224</v>
      </c>
      <c r="C23" t="s">
        <v>204</v>
      </c>
      <c r="D23" t="s">
        <v>114</v>
      </c>
      <c r="E23" t="s">
        <v>62</v>
      </c>
      <c r="F23" t="s">
        <v>215</v>
      </c>
      <c r="G23" t="s">
        <v>100</v>
      </c>
      <c r="H23" t="s">
        <v>146</v>
      </c>
      <c r="I23" t="s">
        <v>72</v>
      </c>
      <c r="J23" t="s">
        <v>59</v>
      </c>
      <c r="K23" t="s">
        <v>216</v>
      </c>
      <c r="L23" t="s">
        <v>61</v>
      </c>
      <c r="N23" s="1"/>
      <c r="P23" t="s">
        <v>100</v>
      </c>
      <c r="Q23" s="6">
        <v>38724</v>
      </c>
    </row>
    <row r="24" spans="1:20" x14ac:dyDescent="0.3">
      <c r="B24">
        <f ca="1">DATEDIF(VLOOKUP(B23,$P$18:$Q$100,2,FALSE),TODAY(),"Y")</f>
        <v>19</v>
      </c>
      <c r="C24">
        <f t="shared" ref="C24:L24" ca="1" si="7">DATEDIF(VLOOKUP(C23,$P$18:$Q$100,2,FALSE),TODAY(),"Y")</f>
        <v>19</v>
      </c>
      <c r="D24">
        <f t="shared" ca="1" si="7"/>
        <v>21</v>
      </c>
      <c r="E24">
        <f t="shared" ca="1" si="7"/>
        <v>20</v>
      </c>
      <c r="F24">
        <f t="shared" ca="1" si="7"/>
        <v>21</v>
      </c>
      <c r="G24">
        <f t="shared" ca="1" si="7"/>
        <v>20</v>
      </c>
      <c r="H24">
        <f t="shared" ca="1" si="7"/>
        <v>19</v>
      </c>
      <c r="I24">
        <f t="shared" ca="1" si="7"/>
        <v>18</v>
      </c>
      <c r="J24">
        <f t="shared" ca="1" si="7"/>
        <v>19</v>
      </c>
      <c r="K24">
        <f t="shared" ca="1" si="7"/>
        <v>20</v>
      </c>
      <c r="L24">
        <f t="shared" ca="1" si="7"/>
        <v>20</v>
      </c>
      <c r="N24" s="1">
        <f ca="1">AVERAGE(B24:M24)</f>
        <v>19.636363636363637</v>
      </c>
      <c r="P24" t="s">
        <v>99</v>
      </c>
      <c r="Q24" s="6">
        <v>38762</v>
      </c>
    </row>
    <row r="25" spans="1:20" x14ac:dyDescent="0.3">
      <c r="P25" t="s">
        <v>72</v>
      </c>
      <c r="Q25" s="6">
        <v>39463</v>
      </c>
    </row>
    <row r="26" spans="1:20" x14ac:dyDescent="0.3">
      <c r="A26" t="s">
        <v>46</v>
      </c>
      <c r="B26" t="s">
        <v>98</v>
      </c>
      <c r="C26" t="s">
        <v>99</v>
      </c>
      <c r="D26" t="s">
        <v>114</v>
      </c>
      <c r="E26" t="s">
        <v>58</v>
      </c>
      <c r="F26" t="s">
        <v>213</v>
      </c>
      <c r="G26" t="s">
        <v>100</v>
      </c>
      <c r="H26" t="s">
        <v>146</v>
      </c>
      <c r="I26" t="s">
        <v>72</v>
      </c>
      <c r="J26" t="s">
        <v>59</v>
      </c>
      <c r="K26" t="s">
        <v>216</v>
      </c>
      <c r="L26" t="s">
        <v>61</v>
      </c>
      <c r="N26" s="1"/>
      <c r="P26" t="s">
        <v>64</v>
      </c>
      <c r="Q26" s="6">
        <v>38990</v>
      </c>
    </row>
    <row r="27" spans="1:20" x14ac:dyDescent="0.3">
      <c r="B27">
        <f ca="1">DATEDIF(VLOOKUP(B26,$P$18:$Q$100,2,FALSE),TODAY(),"Y")</f>
        <v>19</v>
      </c>
      <c r="C27">
        <f t="shared" ref="C27:L27" ca="1" si="8">DATEDIF(VLOOKUP(C26,$P$18:$Q$100,2,FALSE),TODAY(),"Y")</f>
        <v>20</v>
      </c>
      <c r="D27">
        <f t="shared" ca="1" si="8"/>
        <v>21</v>
      </c>
      <c r="E27">
        <f t="shared" ca="1" si="8"/>
        <v>20</v>
      </c>
      <c r="F27">
        <f t="shared" ca="1" si="8"/>
        <v>19</v>
      </c>
      <c r="G27">
        <f t="shared" ca="1" si="8"/>
        <v>20</v>
      </c>
      <c r="H27">
        <f t="shared" ca="1" si="8"/>
        <v>19</v>
      </c>
      <c r="I27">
        <f t="shared" ca="1" si="8"/>
        <v>18</v>
      </c>
      <c r="J27">
        <f t="shared" ca="1" si="8"/>
        <v>19</v>
      </c>
      <c r="K27">
        <f t="shared" ca="1" si="8"/>
        <v>20</v>
      </c>
      <c r="L27">
        <f t="shared" ca="1" si="8"/>
        <v>20</v>
      </c>
      <c r="N27" s="1">
        <f ca="1">AVERAGE(B27:M27)</f>
        <v>19.545454545454547</v>
      </c>
      <c r="P27" t="s">
        <v>61</v>
      </c>
      <c r="Q27" s="6">
        <v>38722</v>
      </c>
    </row>
    <row r="28" spans="1:20" x14ac:dyDescent="0.3">
      <c r="P28" t="s">
        <v>59</v>
      </c>
      <c r="Q28" s="6">
        <v>38982</v>
      </c>
    </row>
    <row r="29" spans="1:20" x14ac:dyDescent="0.3">
      <c r="A29" t="s">
        <v>181</v>
      </c>
      <c r="B29" t="s">
        <v>224</v>
      </c>
      <c r="C29" t="s">
        <v>99</v>
      </c>
      <c r="D29" t="s">
        <v>114</v>
      </c>
      <c r="E29" t="s">
        <v>58</v>
      </c>
      <c r="F29" t="s">
        <v>64</v>
      </c>
      <c r="G29" t="s">
        <v>100</v>
      </c>
      <c r="H29" t="s">
        <v>146</v>
      </c>
      <c r="I29" t="s">
        <v>205</v>
      </c>
      <c r="J29" t="s">
        <v>59</v>
      </c>
      <c r="K29" t="s">
        <v>216</v>
      </c>
      <c r="L29" t="s">
        <v>61</v>
      </c>
      <c r="N29" s="1"/>
      <c r="P29" t="s">
        <v>114</v>
      </c>
      <c r="Q29" s="6">
        <v>38373</v>
      </c>
    </row>
    <row r="30" spans="1:20" x14ac:dyDescent="0.3">
      <c r="B30">
        <f ca="1">DATEDIF(VLOOKUP(B29,$P$18:$Q$100,2,FALSE),TODAY(),"Y")</f>
        <v>19</v>
      </c>
      <c r="C30">
        <f t="shared" ref="C30:L30" ca="1" si="9">DATEDIF(VLOOKUP(C29,$P$18:$Q$100,2,FALSE),TODAY(),"Y")</f>
        <v>20</v>
      </c>
      <c r="D30">
        <f t="shared" ca="1" si="9"/>
        <v>21</v>
      </c>
      <c r="E30">
        <f t="shared" ca="1" si="9"/>
        <v>20</v>
      </c>
      <c r="F30">
        <f t="shared" ca="1" si="9"/>
        <v>19</v>
      </c>
      <c r="G30">
        <f t="shared" ca="1" si="9"/>
        <v>20</v>
      </c>
      <c r="H30">
        <f t="shared" ca="1" si="9"/>
        <v>19</v>
      </c>
      <c r="I30">
        <f t="shared" ca="1" si="9"/>
        <v>20</v>
      </c>
      <c r="J30">
        <f t="shared" ca="1" si="9"/>
        <v>19</v>
      </c>
      <c r="K30">
        <f t="shared" ca="1" si="9"/>
        <v>20</v>
      </c>
      <c r="L30">
        <f t="shared" ca="1" si="9"/>
        <v>20</v>
      </c>
      <c r="N30" s="1">
        <f ca="1">AVERAGE(B30:M30)</f>
        <v>19.727272727272727</v>
      </c>
      <c r="P30" t="s">
        <v>115</v>
      </c>
      <c r="Q30" s="6">
        <v>39117</v>
      </c>
    </row>
    <row r="31" spans="1:20" x14ac:dyDescent="0.3">
      <c r="P31" t="s">
        <v>146</v>
      </c>
      <c r="Q31" s="6">
        <v>39109</v>
      </c>
    </row>
    <row r="32" spans="1:20" x14ac:dyDescent="0.3">
      <c r="A32" t="s">
        <v>60</v>
      </c>
      <c r="B32" t="s">
        <v>224</v>
      </c>
      <c r="C32" t="s">
        <v>213</v>
      </c>
      <c r="D32" t="s">
        <v>114</v>
      </c>
      <c r="E32" t="s">
        <v>58</v>
      </c>
      <c r="F32" t="s">
        <v>64</v>
      </c>
      <c r="G32" t="s">
        <v>100</v>
      </c>
      <c r="H32" t="s">
        <v>146</v>
      </c>
      <c r="I32" t="s">
        <v>246</v>
      </c>
      <c r="J32" t="s">
        <v>59</v>
      </c>
      <c r="K32" t="s">
        <v>216</v>
      </c>
      <c r="L32" t="s">
        <v>62</v>
      </c>
      <c r="N32" s="1"/>
      <c r="P32" t="s">
        <v>224</v>
      </c>
      <c r="Q32" s="6">
        <v>39204</v>
      </c>
    </row>
    <row r="33" spans="1:17" x14ac:dyDescent="0.3">
      <c r="B33">
        <f ca="1">DATEDIF(VLOOKUP(B32,$P$18:$Q$100,2,FALSE),TODAY(),"Y")</f>
        <v>19</v>
      </c>
      <c r="C33">
        <f t="shared" ref="C33:L33" ca="1" si="10">DATEDIF(VLOOKUP(C32,$P$18:$Q$100,2,FALSE),TODAY(),"Y")</f>
        <v>19</v>
      </c>
      <c r="D33">
        <f t="shared" ca="1" si="10"/>
        <v>21</v>
      </c>
      <c r="E33">
        <f t="shared" ca="1" si="10"/>
        <v>20</v>
      </c>
      <c r="F33">
        <f t="shared" ca="1" si="10"/>
        <v>19</v>
      </c>
      <c r="G33">
        <f t="shared" ca="1" si="10"/>
        <v>20</v>
      </c>
      <c r="H33">
        <f t="shared" ca="1" si="10"/>
        <v>19</v>
      </c>
      <c r="I33">
        <f t="shared" ca="1" si="10"/>
        <v>19</v>
      </c>
      <c r="J33">
        <f t="shared" ca="1" si="10"/>
        <v>19</v>
      </c>
      <c r="K33">
        <f t="shared" ca="1" si="10"/>
        <v>20</v>
      </c>
      <c r="L33">
        <f t="shared" ca="1" si="10"/>
        <v>20</v>
      </c>
      <c r="N33" s="1">
        <f ca="1">AVERAGE(B33:M33)</f>
        <v>19.545454545454547</v>
      </c>
      <c r="P33" t="s">
        <v>205</v>
      </c>
      <c r="Q33" s="6">
        <v>38853</v>
      </c>
    </row>
    <row r="34" spans="1:17" x14ac:dyDescent="0.3">
      <c r="P34" t="s">
        <v>206</v>
      </c>
      <c r="Q34" s="6">
        <v>38666</v>
      </c>
    </row>
    <row r="35" spans="1:17" x14ac:dyDescent="0.3">
      <c r="A35" t="s">
        <v>41</v>
      </c>
      <c r="B35" t="s">
        <v>98</v>
      </c>
      <c r="C35" t="s">
        <v>214</v>
      </c>
      <c r="D35" t="s">
        <v>114</v>
      </c>
      <c r="E35" t="s">
        <v>58</v>
      </c>
      <c r="F35" t="s">
        <v>64</v>
      </c>
      <c r="G35" t="s">
        <v>215</v>
      </c>
      <c r="H35" t="s">
        <v>146</v>
      </c>
      <c r="I35" t="s">
        <v>246</v>
      </c>
      <c r="J35" t="s">
        <v>59</v>
      </c>
      <c r="K35" t="s">
        <v>216</v>
      </c>
      <c r="L35" t="s">
        <v>62</v>
      </c>
      <c r="N35" s="1"/>
      <c r="P35" t="s">
        <v>204</v>
      </c>
      <c r="Q35" s="6">
        <v>39117</v>
      </c>
    </row>
    <row r="36" spans="1:17" x14ac:dyDescent="0.3">
      <c r="B36">
        <f ca="1">DATEDIF(VLOOKUP(B35,$P$18:$Q$100,2,FALSE),TODAY(),"Y")</f>
        <v>19</v>
      </c>
      <c r="C36">
        <f t="shared" ref="C36:L36" ca="1" si="11">DATEDIF(VLOOKUP(C35,$P$18:$Q$100,2,FALSE),TODAY(),"Y")</f>
        <v>19</v>
      </c>
      <c r="D36">
        <f t="shared" ca="1" si="11"/>
        <v>21</v>
      </c>
      <c r="E36">
        <f t="shared" ca="1" si="11"/>
        <v>20</v>
      </c>
      <c r="F36">
        <f t="shared" ca="1" si="11"/>
        <v>19</v>
      </c>
      <c r="G36">
        <f t="shared" ca="1" si="11"/>
        <v>21</v>
      </c>
      <c r="H36">
        <f t="shared" ca="1" si="11"/>
        <v>19</v>
      </c>
      <c r="I36">
        <f t="shared" ca="1" si="11"/>
        <v>19</v>
      </c>
      <c r="J36">
        <f t="shared" ca="1" si="11"/>
        <v>19</v>
      </c>
      <c r="K36">
        <f t="shared" ca="1" si="11"/>
        <v>20</v>
      </c>
      <c r="L36">
        <f t="shared" ca="1" si="11"/>
        <v>20</v>
      </c>
      <c r="N36" s="1">
        <f ca="1">AVERAGE(B36:M36)</f>
        <v>19.636363636363637</v>
      </c>
      <c r="P36" t="s">
        <v>212</v>
      </c>
      <c r="Q36" s="6">
        <v>38977</v>
      </c>
    </row>
    <row r="37" spans="1:17" x14ac:dyDescent="0.3">
      <c r="P37" t="s">
        <v>216</v>
      </c>
      <c r="Q37" s="6">
        <v>38815</v>
      </c>
    </row>
    <row r="38" spans="1:17" x14ac:dyDescent="0.3">
      <c r="A38" t="s">
        <v>231</v>
      </c>
      <c r="B38" t="s">
        <v>98</v>
      </c>
      <c r="C38" t="s">
        <v>214</v>
      </c>
      <c r="D38" t="s">
        <v>114</v>
      </c>
      <c r="E38" t="s">
        <v>58</v>
      </c>
      <c r="F38" t="s">
        <v>64</v>
      </c>
      <c r="G38" t="s">
        <v>215</v>
      </c>
      <c r="H38" t="s">
        <v>258</v>
      </c>
      <c r="I38" t="s">
        <v>246</v>
      </c>
      <c r="J38" t="s">
        <v>59</v>
      </c>
      <c r="K38" t="s">
        <v>216</v>
      </c>
      <c r="L38" t="s">
        <v>62</v>
      </c>
      <c r="N38" s="1"/>
      <c r="P38" t="s">
        <v>215</v>
      </c>
      <c r="Q38" s="6">
        <v>38151</v>
      </c>
    </row>
    <row r="39" spans="1:17" x14ac:dyDescent="0.3">
      <c r="B39">
        <f ca="1">DATEDIF(VLOOKUP(B38,$P$18:$Q$100,2,FALSE),TODAY(),"Y")</f>
        <v>19</v>
      </c>
      <c r="C39">
        <f t="shared" ref="C39:L39" ca="1" si="12">DATEDIF(VLOOKUP(C38,$P$18:$Q$100,2,FALSE),TODAY(),"Y")</f>
        <v>19</v>
      </c>
      <c r="D39">
        <f t="shared" ca="1" si="12"/>
        <v>21</v>
      </c>
      <c r="E39">
        <f t="shared" ca="1" si="12"/>
        <v>20</v>
      </c>
      <c r="F39">
        <f t="shared" ca="1" si="12"/>
        <v>19</v>
      </c>
      <c r="G39">
        <f t="shared" ca="1" si="12"/>
        <v>21</v>
      </c>
      <c r="H39">
        <f t="shared" ca="1" si="12"/>
        <v>20</v>
      </c>
      <c r="I39">
        <f t="shared" ca="1" si="12"/>
        <v>19</v>
      </c>
      <c r="J39">
        <f t="shared" ca="1" si="12"/>
        <v>19</v>
      </c>
      <c r="K39">
        <f t="shared" ca="1" si="12"/>
        <v>20</v>
      </c>
      <c r="L39">
        <f t="shared" ca="1" si="12"/>
        <v>20</v>
      </c>
      <c r="N39" s="1">
        <f ca="1">AVERAGE(B39:M39)</f>
        <v>19.727272727272727</v>
      </c>
      <c r="P39" t="s">
        <v>213</v>
      </c>
      <c r="Q39" s="6">
        <v>39115</v>
      </c>
    </row>
    <row r="40" spans="1:17" x14ac:dyDescent="0.3">
      <c r="P40" t="s">
        <v>214</v>
      </c>
      <c r="Q40" s="6">
        <v>39179</v>
      </c>
    </row>
    <row r="41" spans="1:17" x14ac:dyDescent="0.3">
      <c r="A41" t="s">
        <v>153</v>
      </c>
      <c r="B41" t="s">
        <v>98</v>
      </c>
      <c r="C41" t="s">
        <v>214</v>
      </c>
      <c r="D41" t="s">
        <v>213</v>
      </c>
      <c r="E41" t="s">
        <v>58</v>
      </c>
      <c r="F41" t="s">
        <v>64</v>
      </c>
      <c r="G41" t="s">
        <v>215</v>
      </c>
      <c r="H41" t="s">
        <v>269</v>
      </c>
      <c r="I41" t="s">
        <v>246</v>
      </c>
      <c r="J41" t="s">
        <v>146</v>
      </c>
      <c r="K41" t="s">
        <v>216</v>
      </c>
      <c r="L41" t="s">
        <v>62</v>
      </c>
      <c r="N41" s="1"/>
      <c r="P41" t="s">
        <v>246</v>
      </c>
      <c r="Q41" s="6">
        <v>38994</v>
      </c>
    </row>
    <row r="42" spans="1:17" x14ac:dyDescent="0.3">
      <c r="B42">
        <f ca="1">DATEDIF(VLOOKUP(B41,$P$18:$Q$100,2,FALSE),TODAY(),"Y")</f>
        <v>19</v>
      </c>
      <c r="C42">
        <f t="shared" ref="C42:L42" ca="1" si="13">DATEDIF(VLOOKUP(C41,$P$18:$Q$100,2,FALSE),TODAY(),"Y")</f>
        <v>19</v>
      </c>
      <c r="D42">
        <f t="shared" ca="1" si="13"/>
        <v>19</v>
      </c>
      <c r="E42">
        <f t="shared" ca="1" si="13"/>
        <v>20</v>
      </c>
      <c r="F42">
        <f t="shared" ca="1" si="13"/>
        <v>19</v>
      </c>
      <c r="G42">
        <f t="shared" ca="1" si="13"/>
        <v>21</v>
      </c>
      <c r="H42">
        <f t="shared" ca="1" si="13"/>
        <v>19</v>
      </c>
      <c r="I42">
        <f t="shared" ca="1" si="13"/>
        <v>19</v>
      </c>
      <c r="J42">
        <f t="shared" ca="1" si="13"/>
        <v>19</v>
      </c>
      <c r="K42">
        <f t="shared" ca="1" si="13"/>
        <v>20</v>
      </c>
      <c r="L42">
        <f t="shared" ca="1" si="13"/>
        <v>20</v>
      </c>
      <c r="N42" s="1">
        <f ca="1">AVERAGE(B42:M42)</f>
        <v>19.454545454545453</v>
      </c>
      <c r="P42" t="s">
        <v>258</v>
      </c>
      <c r="Q42" s="6">
        <v>38581</v>
      </c>
    </row>
    <row r="43" spans="1:17" x14ac:dyDescent="0.3">
      <c r="P43" t="s">
        <v>269</v>
      </c>
      <c r="Q43" s="6">
        <v>38932</v>
      </c>
    </row>
    <row r="44" spans="1:17" x14ac:dyDescent="0.3">
      <c r="A44" t="s">
        <v>109</v>
      </c>
      <c r="B44" t="s">
        <v>98</v>
      </c>
      <c r="C44" t="s">
        <v>214</v>
      </c>
      <c r="D44" t="s">
        <v>213</v>
      </c>
      <c r="E44" t="s">
        <v>58</v>
      </c>
      <c r="F44" t="s">
        <v>64</v>
      </c>
      <c r="G44" t="s">
        <v>114</v>
      </c>
      <c r="H44" t="s">
        <v>258</v>
      </c>
      <c r="I44" t="s">
        <v>61</v>
      </c>
      <c r="J44" t="s">
        <v>273</v>
      </c>
      <c r="K44" t="s">
        <v>216</v>
      </c>
      <c r="L44" t="s">
        <v>62</v>
      </c>
      <c r="N44" s="1"/>
      <c r="P44" t="s">
        <v>273</v>
      </c>
      <c r="Q44" s="6">
        <v>38422</v>
      </c>
    </row>
    <row r="45" spans="1:17" x14ac:dyDescent="0.3">
      <c r="B45">
        <f ca="1">DATEDIF(VLOOKUP(B44,$P$18:$Q$100,2,FALSE),TODAY(),"Y")</f>
        <v>19</v>
      </c>
      <c r="C45">
        <f t="shared" ref="C45:L45" ca="1" si="14">DATEDIF(VLOOKUP(C44,$P$18:$Q$100,2,FALSE),TODAY(),"Y")</f>
        <v>19</v>
      </c>
      <c r="D45">
        <f t="shared" ca="1" si="14"/>
        <v>19</v>
      </c>
      <c r="E45">
        <f t="shared" ca="1" si="14"/>
        <v>20</v>
      </c>
      <c r="F45">
        <f t="shared" ca="1" si="14"/>
        <v>19</v>
      </c>
      <c r="G45">
        <f t="shared" ca="1" si="14"/>
        <v>21</v>
      </c>
      <c r="H45">
        <f t="shared" ca="1" si="14"/>
        <v>20</v>
      </c>
      <c r="I45">
        <f t="shared" ca="1" si="14"/>
        <v>20</v>
      </c>
      <c r="J45">
        <f t="shared" ca="1" si="14"/>
        <v>21</v>
      </c>
      <c r="K45">
        <f t="shared" ca="1" si="14"/>
        <v>20</v>
      </c>
      <c r="L45">
        <f t="shared" ca="1" si="14"/>
        <v>20</v>
      </c>
      <c r="N45" s="1">
        <f ca="1">AVERAGE(B45:M45)</f>
        <v>19.818181818181817</v>
      </c>
      <c r="P45" t="s">
        <v>274</v>
      </c>
      <c r="Q45" s="6">
        <v>39186</v>
      </c>
    </row>
    <row r="46" spans="1:17" x14ac:dyDescent="0.3">
      <c r="P46" t="s">
        <v>290</v>
      </c>
      <c r="Q46" s="6">
        <v>39198</v>
      </c>
    </row>
    <row r="47" spans="1:17" x14ac:dyDescent="0.3">
      <c r="A47" t="s">
        <v>55</v>
      </c>
      <c r="B47" t="s">
        <v>224</v>
      </c>
      <c r="C47" t="s">
        <v>214</v>
      </c>
      <c r="D47" t="s">
        <v>215</v>
      </c>
      <c r="E47" t="s">
        <v>58</v>
      </c>
      <c r="F47" t="s">
        <v>64</v>
      </c>
      <c r="G47" t="s">
        <v>114</v>
      </c>
      <c r="H47" t="s">
        <v>146</v>
      </c>
      <c r="I47" t="s">
        <v>61</v>
      </c>
      <c r="J47" t="s">
        <v>59</v>
      </c>
      <c r="K47" t="s">
        <v>216</v>
      </c>
      <c r="L47" t="s">
        <v>62</v>
      </c>
      <c r="N47" s="1"/>
      <c r="P47" t="s">
        <v>295</v>
      </c>
      <c r="Q47" s="6">
        <v>39132</v>
      </c>
    </row>
    <row r="48" spans="1:17" x14ac:dyDescent="0.3">
      <c r="B48">
        <f ca="1">DATEDIF(VLOOKUP(B47,$P$18:$Q$100,2,FALSE),TODAY(),"Y")</f>
        <v>19</v>
      </c>
      <c r="C48">
        <f t="shared" ref="C48:L48" ca="1" si="15">DATEDIF(VLOOKUP(C47,$P$18:$Q$100,2,FALSE),TODAY(),"Y")</f>
        <v>19</v>
      </c>
      <c r="D48">
        <f t="shared" ca="1" si="15"/>
        <v>21</v>
      </c>
      <c r="E48">
        <f t="shared" ca="1" si="15"/>
        <v>20</v>
      </c>
      <c r="F48">
        <f t="shared" ca="1" si="15"/>
        <v>19</v>
      </c>
      <c r="G48">
        <f t="shared" ca="1" si="15"/>
        <v>21</v>
      </c>
      <c r="H48">
        <f t="shared" ca="1" si="15"/>
        <v>19</v>
      </c>
      <c r="I48">
        <f t="shared" ca="1" si="15"/>
        <v>20</v>
      </c>
      <c r="J48">
        <f t="shared" ca="1" si="15"/>
        <v>19</v>
      </c>
      <c r="K48">
        <f t="shared" ca="1" si="15"/>
        <v>20</v>
      </c>
      <c r="L48">
        <f t="shared" ca="1" si="15"/>
        <v>20</v>
      </c>
      <c r="N48" s="1">
        <f ca="1">AVERAGE(B48:L48)</f>
        <v>19.727272727272727</v>
      </c>
      <c r="P48" t="s">
        <v>298</v>
      </c>
      <c r="Q48" s="6">
        <v>38070</v>
      </c>
    </row>
    <row r="49" spans="1:17" x14ac:dyDescent="0.3">
      <c r="P49" t="s">
        <v>299</v>
      </c>
      <c r="Q49" s="6">
        <v>38454</v>
      </c>
    </row>
    <row r="50" spans="1:17" x14ac:dyDescent="0.3">
      <c r="A50" t="s">
        <v>49</v>
      </c>
      <c r="B50" t="s">
        <v>98</v>
      </c>
      <c r="C50" t="s">
        <v>214</v>
      </c>
      <c r="D50" t="s">
        <v>258</v>
      </c>
      <c r="E50" t="s">
        <v>58</v>
      </c>
      <c r="F50" t="s">
        <v>64</v>
      </c>
      <c r="G50" t="s">
        <v>114</v>
      </c>
      <c r="H50" t="s">
        <v>213</v>
      </c>
      <c r="I50" t="s">
        <v>61</v>
      </c>
      <c r="J50" t="s">
        <v>274</v>
      </c>
      <c r="K50" t="s">
        <v>216</v>
      </c>
      <c r="L50" t="s">
        <v>62</v>
      </c>
      <c r="N50" s="1"/>
      <c r="P50" t="s">
        <v>343</v>
      </c>
      <c r="Q50" s="6">
        <v>38928</v>
      </c>
    </row>
    <row r="51" spans="1:17" x14ac:dyDescent="0.3">
      <c r="B51">
        <f ca="1">DATEDIF(VLOOKUP(B50,$P$18:$Q$100,2,FALSE),TODAY(),"Y")</f>
        <v>19</v>
      </c>
      <c r="C51">
        <f t="shared" ref="C51:L51" ca="1" si="16">DATEDIF(VLOOKUP(C50,$P$18:$Q$100,2,FALSE),TODAY(),"Y")</f>
        <v>19</v>
      </c>
      <c r="D51">
        <f t="shared" ca="1" si="16"/>
        <v>20</v>
      </c>
      <c r="E51">
        <f t="shared" ca="1" si="16"/>
        <v>20</v>
      </c>
      <c r="F51">
        <f t="shared" ca="1" si="16"/>
        <v>19</v>
      </c>
      <c r="G51">
        <f t="shared" ca="1" si="16"/>
        <v>21</v>
      </c>
      <c r="H51">
        <f t="shared" ca="1" si="16"/>
        <v>19</v>
      </c>
      <c r="I51">
        <f t="shared" ca="1" si="16"/>
        <v>20</v>
      </c>
      <c r="J51">
        <f t="shared" ca="1" si="16"/>
        <v>19</v>
      </c>
      <c r="K51">
        <f t="shared" ca="1" si="16"/>
        <v>20</v>
      </c>
      <c r="L51">
        <f t="shared" ca="1" si="16"/>
        <v>20</v>
      </c>
      <c r="N51" s="1">
        <f ca="1">AVERAGE(B51:L51)</f>
        <v>19.636363636363637</v>
      </c>
      <c r="P51" t="s">
        <v>347</v>
      </c>
      <c r="Q51" s="6">
        <v>39866</v>
      </c>
    </row>
    <row r="52" spans="1:17" x14ac:dyDescent="0.3">
      <c r="P52" t="s">
        <v>348</v>
      </c>
      <c r="Q52" s="6">
        <v>39723</v>
      </c>
    </row>
    <row r="53" spans="1:17" x14ac:dyDescent="0.3">
      <c r="A53" t="s">
        <v>169</v>
      </c>
      <c r="B53" t="s">
        <v>224</v>
      </c>
      <c r="C53" t="s">
        <v>214</v>
      </c>
      <c r="D53" t="s">
        <v>73</v>
      </c>
      <c r="E53" t="s">
        <v>58</v>
      </c>
      <c r="F53" t="s">
        <v>64</v>
      </c>
      <c r="G53" t="s">
        <v>290</v>
      </c>
      <c r="H53" t="s">
        <v>100</v>
      </c>
      <c r="I53" t="s">
        <v>273</v>
      </c>
      <c r="J53" t="s">
        <v>146</v>
      </c>
      <c r="K53" t="s">
        <v>216</v>
      </c>
      <c r="L53" t="s">
        <v>204</v>
      </c>
      <c r="N53" s="1"/>
    </row>
    <row r="54" spans="1:17" x14ac:dyDescent="0.3">
      <c r="B54">
        <f ca="1">DATEDIF(VLOOKUP(B53,$P$18:$Q$100,2,FALSE),TODAY(),"Y")</f>
        <v>19</v>
      </c>
      <c r="C54">
        <f t="shared" ref="C54:L54" ca="1" si="17">DATEDIF(VLOOKUP(C53,$P$18:$Q$100,2,FALSE),TODAY(),"Y")</f>
        <v>19</v>
      </c>
      <c r="D54">
        <f t="shared" ca="1" si="17"/>
        <v>18</v>
      </c>
      <c r="E54">
        <f t="shared" ca="1" si="17"/>
        <v>20</v>
      </c>
      <c r="F54">
        <f t="shared" ca="1" si="17"/>
        <v>19</v>
      </c>
      <c r="G54">
        <f t="shared" ca="1" si="17"/>
        <v>19</v>
      </c>
      <c r="H54">
        <f t="shared" ca="1" si="17"/>
        <v>20</v>
      </c>
      <c r="I54">
        <f t="shared" ca="1" si="17"/>
        <v>21</v>
      </c>
      <c r="J54">
        <f t="shared" ca="1" si="17"/>
        <v>19</v>
      </c>
      <c r="K54">
        <f t="shared" ca="1" si="17"/>
        <v>20</v>
      </c>
      <c r="L54">
        <f t="shared" ca="1" si="17"/>
        <v>19</v>
      </c>
      <c r="N54" s="1">
        <f ca="1">AVERAGE(B54:L54)</f>
        <v>19.363636363636363</v>
      </c>
    </row>
    <row r="56" spans="1:17" x14ac:dyDescent="0.3">
      <c r="A56" t="s">
        <v>53</v>
      </c>
      <c r="B56" t="s">
        <v>224</v>
      </c>
      <c r="C56" t="s">
        <v>214</v>
      </c>
      <c r="D56" t="s">
        <v>63</v>
      </c>
      <c r="E56" t="s">
        <v>58</v>
      </c>
      <c r="F56" t="s">
        <v>64</v>
      </c>
      <c r="G56" t="s">
        <v>290</v>
      </c>
      <c r="H56" t="s">
        <v>62</v>
      </c>
      <c r="I56" t="s">
        <v>273</v>
      </c>
      <c r="J56" t="s">
        <v>146</v>
      </c>
      <c r="K56" t="s">
        <v>295</v>
      </c>
      <c r="L56" t="s">
        <v>61</v>
      </c>
      <c r="N56" s="1"/>
    </row>
    <row r="57" spans="1:17" x14ac:dyDescent="0.3">
      <c r="B57">
        <f ca="1">DATEDIF(VLOOKUP(B56,$P$18:$Q$100,2,FALSE),TODAY(),"Y")</f>
        <v>19</v>
      </c>
      <c r="C57">
        <f t="shared" ref="C57:L57" ca="1" si="18">DATEDIF(VLOOKUP(C56,$P$18:$Q$100,2,FALSE),TODAY(),"Y")</f>
        <v>19</v>
      </c>
      <c r="D57">
        <f t="shared" ca="1" si="18"/>
        <v>21</v>
      </c>
      <c r="E57">
        <f t="shared" ca="1" si="18"/>
        <v>20</v>
      </c>
      <c r="F57">
        <f t="shared" ca="1" si="18"/>
        <v>19</v>
      </c>
      <c r="G57">
        <f t="shared" ca="1" si="18"/>
        <v>19</v>
      </c>
      <c r="H57">
        <f t="shared" ca="1" si="18"/>
        <v>20</v>
      </c>
      <c r="I57">
        <f t="shared" ca="1" si="18"/>
        <v>21</v>
      </c>
      <c r="J57">
        <f t="shared" ca="1" si="18"/>
        <v>19</v>
      </c>
      <c r="K57">
        <f t="shared" ca="1" si="18"/>
        <v>19</v>
      </c>
      <c r="L57">
        <f t="shared" ca="1" si="18"/>
        <v>20</v>
      </c>
      <c r="N57" s="1">
        <f ca="1">AVERAGE(B57:L57)</f>
        <v>19.636363636363637</v>
      </c>
    </row>
    <row r="59" spans="1:17" x14ac:dyDescent="0.3">
      <c r="A59" t="s">
        <v>50</v>
      </c>
      <c r="B59" t="s">
        <v>212</v>
      </c>
      <c r="C59" t="s">
        <v>214</v>
      </c>
      <c r="D59" t="s">
        <v>213</v>
      </c>
      <c r="E59" t="s">
        <v>100</v>
      </c>
      <c r="F59" t="s">
        <v>72</v>
      </c>
      <c r="G59" t="s">
        <v>216</v>
      </c>
      <c r="H59" t="s">
        <v>62</v>
      </c>
      <c r="I59" t="s">
        <v>273</v>
      </c>
      <c r="J59" t="s">
        <v>298</v>
      </c>
      <c r="K59" t="s">
        <v>204</v>
      </c>
      <c r="L59" t="s">
        <v>61</v>
      </c>
      <c r="N59" s="1"/>
    </row>
    <row r="60" spans="1:17" x14ac:dyDescent="0.3">
      <c r="B60">
        <f ca="1">DATEDIF(VLOOKUP(B59,$P$18:$Q$100,2,FALSE),TODAY(),"Y")</f>
        <v>19</v>
      </c>
      <c r="C60">
        <f t="shared" ref="C60:L60" ca="1" si="19">DATEDIF(VLOOKUP(C59,$P$18:$Q$100,2,FALSE),TODAY(),"Y")</f>
        <v>19</v>
      </c>
      <c r="D60">
        <f t="shared" ca="1" si="19"/>
        <v>19</v>
      </c>
      <c r="E60">
        <f t="shared" ca="1" si="19"/>
        <v>20</v>
      </c>
      <c r="F60">
        <f t="shared" ca="1" si="19"/>
        <v>18</v>
      </c>
      <c r="G60">
        <f t="shared" ca="1" si="19"/>
        <v>20</v>
      </c>
      <c r="H60">
        <f t="shared" ca="1" si="19"/>
        <v>20</v>
      </c>
      <c r="I60">
        <f t="shared" ca="1" si="19"/>
        <v>21</v>
      </c>
      <c r="J60">
        <f t="shared" ca="1" si="19"/>
        <v>22</v>
      </c>
      <c r="K60">
        <f t="shared" ca="1" si="19"/>
        <v>19</v>
      </c>
      <c r="L60">
        <f t="shared" ca="1" si="19"/>
        <v>20</v>
      </c>
      <c r="N60" s="1">
        <f ca="1">AVERAGE(B60:L60)</f>
        <v>19.727272727272727</v>
      </c>
    </row>
    <row r="62" spans="1:17" x14ac:dyDescent="0.3">
      <c r="A62" t="s">
        <v>163</v>
      </c>
      <c r="B62" t="s">
        <v>224</v>
      </c>
      <c r="C62" t="s">
        <v>214</v>
      </c>
      <c r="D62" t="s">
        <v>213</v>
      </c>
      <c r="E62" t="s">
        <v>100</v>
      </c>
      <c r="F62" t="s">
        <v>290</v>
      </c>
      <c r="G62" t="s">
        <v>216</v>
      </c>
      <c r="H62" t="s">
        <v>299</v>
      </c>
      <c r="I62" t="s">
        <v>64</v>
      </c>
      <c r="J62" t="s">
        <v>298</v>
      </c>
      <c r="K62" t="s">
        <v>204</v>
      </c>
      <c r="L62" t="s">
        <v>61</v>
      </c>
      <c r="N62" s="1"/>
    </row>
    <row r="63" spans="1:17" x14ac:dyDescent="0.3">
      <c r="B63">
        <f ca="1">DATEDIF(VLOOKUP(B62,$P$18:$Q$100,2,FALSE),TODAY(),"Y")</f>
        <v>19</v>
      </c>
      <c r="C63">
        <f t="shared" ref="C63:L63" ca="1" si="20">DATEDIF(VLOOKUP(C62,$P$18:$Q$100,2,FALSE),TODAY(),"Y")</f>
        <v>19</v>
      </c>
      <c r="D63">
        <f t="shared" ca="1" si="20"/>
        <v>19</v>
      </c>
      <c r="E63">
        <f t="shared" ca="1" si="20"/>
        <v>20</v>
      </c>
      <c r="F63">
        <f t="shared" ca="1" si="20"/>
        <v>19</v>
      </c>
      <c r="G63">
        <f t="shared" ca="1" si="20"/>
        <v>20</v>
      </c>
      <c r="H63">
        <f t="shared" ca="1" si="20"/>
        <v>21</v>
      </c>
      <c r="I63">
        <f t="shared" ca="1" si="20"/>
        <v>19</v>
      </c>
      <c r="J63">
        <f t="shared" ca="1" si="20"/>
        <v>22</v>
      </c>
      <c r="K63">
        <f t="shared" ca="1" si="20"/>
        <v>19</v>
      </c>
      <c r="L63">
        <f t="shared" ca="1" si="20"/>
        <v>20</v>
      </c>
      <c r="N63" s="1">
        <f ca="1">AVERAGE(B63:L63)</f>
        <v>19.727272727272727</v>
      </c>
    </row>
    <row r="65" spans="1:14" x14ac:dyDescent="0.3">
      <c r="A65" t="s">
        <v>177</v>
      </c>
      <c r="B65" t="s">
        <v>224</v>
      </c>
      <c r="C65" t="s">
        <v>214</v>
      </c>
      <c r="D65" t="s">
        <v>213</v>
      </c>
      <c r="E65" t="s">
        <v>100</v>
      </c>
      <c r="F65" t="s">
        <v>290</v>
      </c>
      <c r="G65" t="s">
        <v>216</v>
      </c>
      <c r="H65" t="s">
        <v>62</v>
      </c>
      <c r="I65" t="s">
        <v>64</v>
      </c>
      <c r="J65" t="s">
        <v>146</v>
      </c>
      <c r="K65" t="s">
        <v>273</v>
      </c>
      <c r="L65" t="s">
        <v>61</v>
      </c>
      <c r="N65" s="1"/>
    </row>
    <row r="66" spans="1:14" x14ac:dyDescent="0.3">
      <c r="B66">
        <f ca="1">DATEDIF(VLOOKUP(B65,$P$18:$Q$100,2,FALSE),TODAY(),"Y")</f>
        <v>19</v>
      </c>
      <c r="C66">
        <f t="shared" ref="C66:L66" ca="1" si="21">DATEDIF(VLOOKUP(C65,$P$18:$Q$100,2,FALSE),TODAY(),"Y")</f>
        <v>19</v>
      </c>
      <c r="D66">
        <f t="shared" ca="1" si="21"/>
        <v>19</v>
      </c>
      <c r="E66">
        <f t="shared" ca="1" si="21"/>
        <v>20</v>
      </c>
      <c r="F66">
        <f t="shared" ca="1" si="21"/>
        <v>19</v>
      </c>
      <c r="G66">
        <f t="shared" ca="1" si="21"/>
        <v>20</v>
      </c>
      <c r="H66">
        <f t="shared" ca="1" si="21"/>
        <v>20</v>
      </c>
      <c r="I66">
        <f t="shared" ca="1" si="21"/>
        <v>19</v>
      </c>
      <c r="J66">
        <f t="shared" ca="1" si="21"/>
        <v>19</v>
      </c>
      <c r="K66">
        <f t="shared" ca="1" si="21"/>
        <v>21</v>
      </c>
      <c r="L66">
        <f t="shared" ca="1" si="21"/>
        <v>20</v>
      </c>
      <c r="N66" s="1">
        <f ca="1">AVERAGE(B66:L66)</f>
        <v>19.545454545454547</v>
      </c>
    </row>
    <row r="68" spans="1:14" x14ac:dyDescent="0.3">
      <c r="A68" t="s">
        <v>46</v>
      </c>
      <c r="B68" t="s">
        <v>212</v>
      </c>
      <c r="C68" t="s">
        <v>214</v>
      </c>
      <c r="D68" t="s">
        <v>246</v>
      </c>
      <c r="E68" t="s">
        <v>100</v>
      </c>
      <c r="F68" t="s">
        <v>290</v>
      </c>
      <c r="G68" t="s">
        <v>63</v>
      </c>
      <c r="H68" t="s">
        <v>62</v>
      </c>
      <c r="I68" t="s">
        <v>59</v>
      </c>
      <c r="J68" t="s">
        <v>206</v>
      </c>
      <c r="K68" t="s">
        <v>273</v>
      </c>
      <c r="L68" t="s">
        <v>61</v>
      </c>
      <c r="N68" s="1"/>
    </row>
    <row r="69" spans="1:14" x14ac:dyDescent="0.3">
      <c r="B69">
        <f ca="1">DATEDIF(VLOOKUP(B68,$P$18:$Q$100,2,FALSE),TODAY(),"Y")</f>
        <v>19</v>
      </c>
      <c r="C69">
        <f t="shared" ref="C69:L69" ca="1" si="22">DATEDIF(VLOOKUP(C68,$P$18:$Q$100,2,FALSE),TODAY(),"Y")</f>
        <v>19</v>
      </c>
      <c r="D69">
        <f t="shared" ca="1" si="22"/>
        <v>19</v>
      </c>
      <c r="E69">
        <f t="shared" ca="1" si="22"/>
        <v>20</v>
      </c>
      <c r="F69">
        <f t="shared" ca="1" si="22"/>
        <v>19</v>
      </c>
      <c r="G69">
        <f t="shared" ca="1" si="22"/>
        <v>21</v>
      </c>
      <c r="H69">
        <f t="shared" ca="1" si="22"/>
        <v>20</v>
      </c>
      <c r="I69">
        <f t="shared" ca="1" si="22"/>
        <v>19</v>
      </c>
      <c r="J69">
        <f t="shared" ca="1" si="22"/>
        <v>20</v>
      </c>
      <c r="K69">
        <f t="shared" ca="1" si="22"/>
        <v>21</v>
      </c>
      <c r="L69">
        <f t="shared" ca="1" si="22"/>
        <v>20</v>
      </c>
      <c r="N69" s="1">
        <f ca="1">AVERAGE(B69:L69)</f>
        <v>19.727272727272727</v>
      </c>
    </row>
    <row r="71" spans="1:14" x14ac:dyDescent="0.3">
      <c r="A71" t="s">
        <v>181</v>
      </c>
      <c r="B71" t="s">
        <v>224</v>
      </c>
      <c r="C71" t="s">
        <v>213</v>
      </c>
      <c r="D71" t="s">
        <v>246</v>
      </c>
      <c r="E71" t="s">
        <v>100</v>
      </c>
      <c r="F71" t="s">
        <v>290</v>
      </c>
      <c r="G71" t="s">
        <v>72</v>
      </c>
      <c r="H71" t="s">
        <v>62</v>
      </c>
      <c r="I71" t="s">
        <v>146</v>
      </c>
      <c r="J71" t="s">
        <v>206</v>
      </c>
      <c r="K71" t="s">
        <v>273</v>
      </c>
      <c r="L71" t="s">
        <v>61</v>
      </c>
      <c r="N71" s="1"/>
    </row>
    <row r="72" spans="1:14" x14ac:dyDescent="0.3">
      <c r="B72">
        <f ca="1">DATEDIF(VLOOKUP(B71,$P$18:$Q$100,2,FALSE),TODAY(),"Y")</f>
        <v>19</v>
      </c>
      <c r="C72">
        <f t="shared" ref="C72:L72" ca="1" si="23">DATEDIF(VLOOKUP(C71,$P$18:$Q$100,2,FALSE),TODAY(),"Y")</f>
        <v>19</v>
      </c>
      <c r="D72">
        <f t="shared" ca="1" si="23"/>
        <v>19</v>
      </c>
      <c r="E72">
        <f t="shared" ca="1" si="23"/>
        <v>20</v>
      </c>
      <c r="F72">
        <f t="shared" ca="1" si="23"/>
        <v>19</v>
      </c>
      <c r="G72">
        <f t="shared" ca="1" si="23"/>
        <v>18</v>
      </c>
      <c r="H72">
        <f t="shared" ca="1" si="23"/>
        <v>20</v>
      </c>
      <c r="I72">
        <f t="shared" ca="1" si="23"/>
        <v>19</v>
      </c>
      <c r="J72">
        <f t="shared" ca="1" si="23"/>
        <v>20</v>
      </c>
      <c r="K72">
        <f t="shared" ca="1" si="23"/>
        <v>21</v>
      </c>
      <c r="L72">
        <f t="shared" ca="1" si="23"/>
        <v>20</v>
      </c>
      <c r="N72" s="1">
        <f ca="1">AVERAGE(B72:L72)</f>
        <v>19.454545454545453</v>
      </c>
    </row>
    <row r="74" spans="1:14" x14ac:dyDescent="0.3">
      <c r="A74" t="s">
        <v>60</v>
      </c>
      <c r="B74" t="s">
        <v>224</v>
      </c>
      <c r="C74" t="s">
        <v>213</v>
      </c>
      <c r="D74" t="s">
        <v>64</v>
      </c>
      <c r="E74" t="s">
        <v>100</v>
      </c>
      <c r="F74" t="s">
        <v>290</v>
      </c>
      <c r="G74" t="s">
        <v>72</v>
      </c>
      <c r="H74" t="s">
        <v>62</v>
      </c>
      <c r="I74" t="s">
        <v>299</v>
      </c>
      <c r="J74" t="s">
        <v>206</v>
      </c>
      <c r="K74" t="s">
        <v>273</v>
      </c>
      <c r="L74" t="s">
        <v>61</v>
      </c>
      <c r="N74" s="1"/>
    </row>
    <row r="75" spans="1:14" x14ac:dyDescent="0.3">
      <c r="B75">
        <f ca="1">DATEDIF(VLOOKUP(B74,$P$18:$Q$100,2,FALSE),TODAY(),"Y")</f>
        <v>19</v>
      </c>
      <c r="C75">
        <f t="shared" ref="C75:L75" ca="1" si="24">DATEDIF(VLOOKUP(C74,$P$18:$Q$100,2,FALSE),TODAY(),"Y")</f>
        <v>19</v>
      </c>
      <c r="D75">
        <f t="shared" ca="1" si="24"/>
        <v>19</v>
      </c>
      <c r="E75">
        <f t="shared" ca="1" si="24"/>
        <v>20</v>
      </c>
      <c r="F75">
        <f t="shared" ca="1" si="24"/>
        <v>19</v>
      </c>
      <c r="G75">
        <f t="shared" ca="1" si="24"/>
        <v>18</v>
      </c>
      <c r="H75">
        <f t="shared" ca="1" si="24"/>
        <v>20</v>
      </c>
      <c r="I75">
        <f t="shared" ca="1" si="24"/>
        <v>21</v>
      </c>
      <c r="J75">
        <f t="shared" ca="1" si="24"/>
        <v>20</v>
      </c>
      <c r="K75">
        <f t="shared" ca="1" si="24"/>
        <v>21</v>
      </c>
      <c r="L75">
        <f t="shared" ca="1" si="24"/>
        <v>20</v>
      </c>
      <c r="N75" s="1">
        <f ca="1">AVERAGE(B75:L75)</f>
        <v>19.636363636363637</v>
      </c>
    </row>
    <row r="77" spans="1:14" x14ac:dyDescent="0.3">
      <c r="A77" t="s">
        <v>41</v>
      </c>
      <c r="B77" t="s">
        <v>98</v>
      </c>
      <c r="C77" t="s">
        <v>213</v>
      </c>
      <c r="D77" t="s">
        <v>64</v>
      </c>
      <c r="E77" t="s">
        <v>100</v>
      </c>
      <c r="F77" t="s">
        <v>290</v>
      </c>
      <c r="G77" t="s">
        <v>72</v>
      </c>
      <c r="H77" t="s">
        <v>62</v>
      </c>
      <c r="I77" t="s">
        <v>295</v>
      </c>
      <c r="J77" t="s">
        <v>214</v>
      </c>
      <c r="K77" t="s">
        <v>273</v>
      </c>
      <c r="L77" t="s">
        <v>61</v>
      </c>
      <c r="N77" s="1"/>
    </row>
    <row r="78" spans="1:14" x14ac:dyDescent="0.3">
      <c r="B78">
        <f ca="1">DATEDIF(VLOOKUP(B77,$P$18:$Q$100,2,FALSE),TODAY(),"Y")</f>
        <v>19</v>
      </c>
      <c r="C78">
        <f t="shared" ref="C78:L78" ca="1" si="25">DATEDIF(VLOOKUP(C77,$P$18:$Q$100,2,FALSE),TODAY(),"Y")</f>
        <v>19</v>
      </c>
      <c r="D78">
        <f t="shared" ca="1" si="25"/>
        <v>19</v>
      </c>
      <c r="E78">
        <f t="shared" ca="1" si="25"/>
        <v>20</v>
      </c>
      <c r="F78">
        <f t="shared" ca="1" si="25"/>
        <v>19</v>
      </c>
      <c r="G78">
        <f t="shared" ca="1" si="25"/>
        <v>18</v>
      </c>
      <c r="H78">
        <f t="shared" ca="1" si="25"/>
        <v>20</v>
      </c>
      <c r="I78">
        <f t="shared" ca="1" si="25"/>
        <v>19</v>
      </c>
      <c r="J78">
        <f t="shared" ca="1" si="25"/>
        <v>19</v>
      </c>
      <c r="K78">
        <f t="shared" ca="1" si="25"/>
        <v>21</v>
      </c>
      <c r="L78">
        <f t="shared" ca="1" si="25"/>
        <v>20</v>
      </c>
      <c r="N78" s="1">
        <f ca="1">AVERAGE(B78:L78)</f>
        <v>19.363636363636363</v>
      </c>
    </row>
    <row r="80" spans="1:14" x14ac:dyDescent="0.3">
      <c r="A80" t="s">
        <v>231</v>
      </c>
      <c r="B80" t="s">
        <v>212</v>
      </c>
      <c r="C80" t="s">
        <v>213</v>
      </c>
      <c r="D80" t="s">
        <v>64</v>
      </c>
      <c r="E80" t="s">
        <v>100</v>
      </c>
      <c r="F80" t="s">
        <v>290</v>
      </c>
      <c r="G80" t="s">
        <v>72</v>
      </c>
      <c r="H80" t="s">
        <v>274</v>
      </c>
      <c r="I80" t="s">
        <v>204</v>
      </c>
      <c r="J80" t="s">
        <v>216</v>
      </c>
      <c r="K80" t="s">
        <v>343</v>
      </c>
      <c r="L80" t="s">
        <v>61</v>
      </c>
      <c r="N80" s="1"/>
    </row>
    <row r="81" spans="1:14" x14ac:dyDescent="0.3">
      <c r="B81">
        <f ca="1">DATEDIF(VLOOKUP(B80,$P$18:$Q$100,2,FALSE),TODAY(),"Y")</f>
        <v>19</v>
      </c>
      <c r="C81">
        <f t="shared" ref="C81:L81" ca="1" si="26">DATEDIF(VLOOKUP(C80,$P$18:$Q$100,2,FALSE),TODAY(),"Y")</f>
        <v>19</v>
      </c>
      <c r="D81">
        <f t="shared" ca="1" si="26"/>
        <v>19</v>
      </c>
      <c r="E81">
        <f t="shared" ca="1" si="26"/>
        <v>20</v>
      </c>
      <c r="F81">
        <f t="shared" ca="1" si="26"/>
        <v>19</v>
      </c>
      <c r="G81">
        <f t="shared" ca="1" si="26"/>
        <v>18</v>
      </c>
      <c r="H81">
        <f t="shared" ca="1" si="26"/>
        <v>19</v>
      </c>
      <c r="I81">
        <f t="shared" ca="1" si="26"/>
        <v>19</v>
      </c>
      <c r="J81">
        <f t="shared" ca="1" si="26"/>
        <v>20</v>
      </c>
      <c r="K81">
        <f t="shared" ca="1" si="26"/>
        <v>19</v>
      </c>
      <c r="L81">
        <f t="shared" ca="1" si="26"/>
        <v>20</v>
      </c>
      <c r="N81" s="1">
        <f ca="1">AVERAGE(B81:L81)</f>
        <v>19.181818181818183</v>
      </c>
    </row>
    <row r="83" spans="1:14" x14ac:dyDescent="0.3">
      <c r="A83" t="s">
        <v>153</v>
      </c>
      <c r="B83" t="s">
        <v>98</v>
      </c>
      <c r="C83" t="s">
        <v>213</v>
      </c>
      <c r="D83" t="s">
        <v>64</v>
      </c>
      <c r="E83" t="s">
        <v>100</v>
      </c>
      <c r="F83" t="s">
        <v>62</v>
      </c>
      <c r="G83" t="s">
        <v>295</v>
      </c>
      <c r="H83" t="s">
        <v>274</v>
      </c>
      <c r="I83" t="s">
        <v>204</v>
      </c>
      <c r="J83" t="s">
        <v>216</v>
      </c>
      <c r="K83" t="s">
        <v>343</v>
      </c>
      <c r="L83" t="s">
        <v>61</v>
      </c>
      <c r="N83" s="1"/>
    </row>
    <row r="84" spans="1:14" x14ac:dyDescent="0.3">
      <c r="B84">
        <f ca="1">DATEDIF(VLOOKUP(B83,$P$18:$Q$100,2,FALSE),TODAY(),"Y")</f>
        <v>19</v>
      </c>
      <c r="C84">
        <f t="shared" ref="C84:L84" ca="1" si="27">DATEDIF(VLOOKUP(C83,$P$18:$Q$100,2,FALSE),TODAY(),"Y")</f>
        <v>19</v>
      </c>
      <c r="D84">
        <f t="shared" ca="1" si="27"/>
        <v>19</v>
      </c>
      <c r="E84">
        <f t="shared" ca="1" si="27"/>
        <v>20</v>
      </c>
      <c r="F84">
        <f t="shared" ca="1" si="27"/>
        <v>20</v>
      </c>
      <c r="G84">
        <f t="shared" ca="1" si="27"/>
        <v>19</v>
      </c>
      <c r="H84">
        <f t="shared" ca="1" si="27"/>
        <v>19</v>
      </c>
      <c r="I84">
        <f t="shared" ca="1" si="27"/>
        <v>19</v>
      </c>
      <c r="J84">
        <f t="shared" ca="1" si="27"/>
        <v>20</v>
      </c>
      <c r="K84">
        <f t="shared" ca="1" si="27"/>
        <v>19</v>
      </c>
      <c r="L84">
        <f t="shared" ca="1" si="27"/>
        <v>20</v>
      </c>
      <c r="N84" s="1">
        <f ca="1">AVERAGE(B84:L84)</f>
        <v>19.363636363636363</v>
      </c>
    </row>
    <row r="86" spans="1:14" x14ac:dyDescent="0.3">
      <c r="A86" t="s">
        <v>109</v>
      </c>
      <c r="B86" t="s">
        <v>212</v>
      </c>
      <c r="C86" t="s">
        <v>73</v>
      </c>
      <c r="D86" t="s">
        <v>64</v>
      </c>
      <c r="E86" t="s">
        <v>100</v>
      </c>
      <c r="F86" t="s">
        <v>290</v>
      </c>
      <c r="G86" t="s">
        <v>295</v>
      </c>
      <c r="H86" t="s">
        <v>274</v>
      </c>
      <c r="I86" t="s">
        <v>347</v>
      </c>
      <c r="J86" t="s">
        <v>216</v>
      </c>
      <c r="K86" t="s">
        <v>348</v>
      </c>
      <c r="L86" t="s">
        <v>61</v>
      </c>
      <c r="N86" s="1"/>
    </row>
    <row r="87" spans="1:14" x14ac:dyDescent="0.3">
      <c r="B87">
        <f ca="1">DATEDIF(VLOOKUP(B86,$P$18:$Q$100,2,FALSE),TODAY(),"Y")</f>
        <v>19</v>
      </c>
      <c r="C87">
        <f t="shared" ref="C87:L87" ca="1" si="28">DATEDIF(VLOOKUP(C86,$P$18:$Q$100,2,FALSE),TODAY(),"Y")</f>
        <v>18</v>
      </c>
      <c r="D87">
        <f t="shared" ca="1" si="28"/>
        <v>19</v>
      </c>
      <c r="E87">
        <f t="shared" ca="1" si="28"/>
        <v>20</v>
      </c>
      <c r="F87">
        <f t="shared" ca="1" si="28"/>
        <v>19</v>
      </c>
      <c r="G87">
        <f t="shared" ca="1" si="28"/>
        <v>19</v>
      </c>
      <c r="H87">
        <f t="shared" ca="1" si="28"/>
        <v>19</v>
      </c>
      <c r="I87">
        <f t="shared" ca="1" si="28"/>
        <v>17</v>
      </c>
      <c r="J87">
        <f t="shared" ca="1" si="28"/>
        <v>20</v>
      </c>
      <c r="K87">
        <f t="shared" ca="1" si="28"/>
        <v>17</v>
      </c>
      <c r="L87">
        <f t="shared" ca="1" si="28"/>
        <v>20</v>
      </c>
      <c r="N87" s="1">
        <f ca="1">AVERAGE(B87:L87)</f>
        <v>18.818181818181817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FA24-3406-41A0-A4BC-C12C2626EFAE}">
  <dimension ref="A1:T90"/>
  <sheetViews>
    <sheetView topLeftCell="A15" workbookViewId="0">
      <selection activeCell="T19" sqref="T19"/>
    </sheetView>
  </sheetViews>
  <sheetFormatPr baseColWidth="10" defaultRowHeight="14.4" x14ac:dyDescent="0.3"/>
  <cols>
    <col min="1" max="1" width="12.77734375" bestFit="1" customWidth="1"/>
    <col min="16" max="16" width="15.5546875" customWidth="1"/>
  </cols>
  <sheetData>
    <row r="1" spans="1:14" x14ac:dyDescent="0.3">
      <c r="N1" s="1">
        <f ca="1">AVERAGE(N3:N99)</f>
        <v>20.806060606060608</v>
      </c>
    </row>
    <row r="2" spans="1:14" x14ac:dyDescent="0.3">
      <c r="A2" t="s">
        <v>46</v>
      </c>
      <c r="B2" t="s">
        <v>67</v>
      </c>
      <c r="C2" t="s">
        <v>66</v>
      </c>
      <c r="D2" t="s">
        <v>101</v>
      </c>
      <c r="E2" t="s">
        <v>18</v>
      </c>
      <c r="F2" t="s">
        <v>69</v>
      </c>
      <c r="G2" t="s">
        <v>57</v>
      </c>
      <c r="H2" t="s">
        <v>76</v>
      </c>
      <c r="I2" t="s">
        <v>65</v>
      </c>
      <c r="J2" t="s">
        <v>68</v>
      </c>
      <c r="K2" t="s">
        <v>74</v>
      </c>
      <c r="L2" t="s">
        <v>70</v>
      </c>
      <c r="N2" s="1"/>
    </row>
    <row r="3" spans="1:14" x14ac:dyDescent="0.3">
      <c r="B3">
        <f ca="1">DATEDIF(VLOOKUP(B2,$P$18:$Q$100,2,FALSE),TODAY(),"Y")</f>
        <v>19</v>
      </c>
      <c r="C3">
        <f t="shared" ref="C3:L3" ca="1" si="0">DATEDIF(VLOOKUP(C2,$P$18:$Q$100,2,FALSE),TODAY(),"Y")</f>
        <v>20</v>
      </c>
      <c r="D3">
        <f t="shared" ca="1" si="0"/>
        <v>26</v>
      </c>
      <c r="E3">
        <f t="shared" ca="1" si="0"/>
        <v>23</v>
      </c>
      <c r="F3">
        <f t="shared" ca="1" si="0"/>
        <v>20</v>
      </c>
      <c r="G3">
        <f t="shared" ca="1" si="0"/>
        <v>20</v>
      </c>
      <c r="H3">
        <f t="shared" ca="1" si="0"/>
        <v>17</v>
      </c>
      <c r="I3">
        <f t="shared" ca="1" si="0"/>
        <v>22</v>
      </c>
      <c r="J3">
        <f t="shared" ca="1" si="0"/>
        <v>19</v>
      </c>
      <c r="K3">
        <f t="shared" ca="1" si="0"/>
        <v>19</v>
      </c>
      <c r="L3">
        <f t="shared" ca="1" si="0"/>
        <v>18</v>
      </c>
      <c r="N3" s="1">
        <f ca="1">AVERAGE(B3:M3)</f>
        <v>20.272727272727273</v>
      </c>
    </row>
    <row r="5" spans="1:14" x14ac:dyDescent="0.3">
      <c r="A5" t="s">
        <v>223</v>
      </c>
      <c r="B5" t="s">
        <v>116</v>
      </c>
      <c r="C5" t="s">
        <v>66</v>
      </c>
      <c r="D5" t="s">
        <v>101</v>
      </c>
      <c r="E5" t="s">
        <v>117</v>
      </c>
      <c r="F5" t="s">
        <v>69</v>
      </c>
      <c r="G5" t="s">
        <v>57</v>
      </c>
      <c r="H5" t="s">
        <v>76</v>
      </c>
      <c r="I5" t="s">
        <v>65</v>
      </c>
      <c r="J5" t="s">
        <v>118</v>
      </c>
      <c r="K5" t="s">
        <v>74</v>
      </c>
      <c r="L5" t="s">
        <v>70</v>
      </c>
      <c r="N5" s="1"/>
    </row>
    <row r="6" spans="1:14" x14ac:dyDescent="0.3">
      <c r="B6">
        <f ca="1">DATEDIF(VLOOKUP(B5,$P$18:$Q$100,2,FALSE),TODAY(),"Y")</f>
        <v>20</v>
      </c>
      <c r="C6">
        <f t="shared" ref="C6:L6" ca="1" si="1">DATEDIF(VLOOKUP(C5,$P$18:$Q$100,2,FALSE),TODAY(),"Y")</f>
        <v>20</v>
      </c>
      <c r="D6">
        <f t="shared" ca="1" si="1"/>
        <v>26</v>
      </c>
      <c r="E6">
        <f t="shared" ca="1" si="1"/>
        <v>18</v>
      </c>
      <c r="F6">
        <f t="shared" ca="1" si="1"/>
        <v>20</v>
      </c>
      <c r="G6">
        <f t="shared" ca="1" si="1"/>
        <v>20</v>
      </c>
      <c r="H6">
        <f t="shared" ca="1" si="1"/>
        <v>17</v>
      </c>
      <c r="I6">
        <f t="shared" ca="1" si="1"/>
        <v>22</v>
      </c>
      <c r="J6">
        <f t="shared" ca="1" si="1"/>
        <v>26</v>
      </c>
      <c r="K6">
        <f t="shared" ca="1" si="1"/>
        <v>19</v>
      </c>
      <c r="L6">
        <f t="shared" ca="1" si="1"/>
        <v>18</v>
      </c>
      <c r="N6" s="1">
        <f ca="1">AVERAGE(B6:M6)</f>
        <v>20.545454545454547</v>
      </c>
    </row>
    <row r="8" spans="1:14" x14ac:dyDescent="0.3">
      <c r="A8" t="s">
        <v>51</v>
      </c>
      <c r="B8" t="s">
        <v>116</v>
      </c>
      <c r="C8" t="s">
        <v>66</v>
      </c>
      <c r="D8" t="s">
        <v>101</v>
      </c>
      <c r="E8" t="s">
        <v>18</v>
      </c>
      <c r="F8" t="s">
        <v>147</v>
      </c>
      <c r="G8" t="s">
        <v>57</v>
      </c>
      <c r="H8" t="s">
        <v>76</v>
      </c>
      <c r="I8" t="s">
        <v>65</v>
      </c>
      <c r="J8" t="s">
        <v>148</v>
      </c>
      <c r="K8" t="s">
        <v>74</v>
      </c>
      <c r="L8" t="s">
        <v>70</v>
      </c>
      <c r="N8" s="1"/>
    </row>
    <row r="9" spans="1:14" x14ac:dyDescent="0.3">
      <c r="B9">
        <f ca="1">DATEDIF(VLOOKUP(B8,$P$18:$Q$100,2,FALSE),TODAY(),"Y")</f>
        <v>20</v>
      </c>
      <c r="C9">
        <f t="shared" ref="C9:L9" ca="1" si="2">DATEDIF(VLOOKUP(C8,$P$18:$Q$100,2,FALSE),TODAY(),"Y")</f>
        <v>20</v>
      </c>
      <c r="D9">
        <f t="shared" ca="1" si="2"/>
        <v>26</v>
      </c>
      <c r="E9">
        <f t="shared" ca="1" si="2"/>
        <v>23</v>
      </c>
      <c r="F9">
        <f t="shared" ca="1" si="2"/>
        <v>19</v>
      </c>
      <c r="G9">
        <f t="shared" ca="1" si="2"/>
        <v>20</v>
      </c>
      <c r="H9">
        <f t="shared" ca="1" si="2"/>
        <v>17</v>
      </c>
      <c r="I9">
        <f t="shared" ca="1" si="2"/>
        <v>22</v>
      </c>
      <c r="J9">
        <f t="shared" ca="1" si="2"/>
        <v>21</v>
      </c>
      <c r="K9">
        <f t="shared" ca="1" si="2"/>
        <v>19</v>
      </c>
      <c r="L9">
        <f t="shared" ca="1" si="2"/>
        <v>18</v>
      </c>
      <c r="N9" s="1">
        <f ca="1">AVERAGE(B9:M9)</f>
        <v>20.454545454545453</v>
      </c>
    </row>
    <row r="11" spans="1:14" x14ac:dyDescent="0.3">
      <c r="A11" t="s">
        <v>50</v>
      </c>
      <c r="B11" t="s">
        <v>116</v>
      </c>
      <c r="C11" t="s">
        <v>66</v>
      </c>
      <c r="D11" t="s">
        <v>101</v>
      </c>
      <c r="E11" t="s">
        <v>18</v>
      </c>
      <c r="F11" t="s">
        <v>68</v>
      </c>
      <c r="G11" t="s">
        <v>57</v>
      </c>
      <c r="H11" t="s">
        <v>173</v>
      </c>
      <c r="I11" t="s">
        <v>65</v>
      </c>
      <c r="J11" t="s">
        <v>117</v>
      </c>
      <c r="K11" t="s">
        <v>74</v>
      </c>
      <c r="L11" t="s">
        <v>70</v>
      </c>
      <c r="N11" s="1"/>
    </row>
    <row r="12" spans="1:14" x14ac:dyDescent="0.3">
      <c r="B12">
        <f ca="1">DATEDIF(VLOOKUP(B11,$P$18:$Q$100,2,FALSE),TODAY(),"Y")</f>
        <v>20</v>
      </c>
      <c r="C12">
        <f t="shared" ref="C12:L12" ca="1" si="3">DATEDIF(VLOOKUP(C11,$P$18:$Q$100,2,FALSE),TODAY(),"Y")</f>
        <v>20</v>
      </c>
      <c r="D12">
        <f t="shared" ca="1" si="3"/>
        <v>26</v>
      </c>
      <c r="E12">
        <f t="shared" ca="1" si="3"/>
        <v>23</v>
      </c>
      <c r="F12">
        <f t="shared" ca="1" si="3"/>
        <v>19</v>
      </c>
      <c r="G12">
        <f t="shared" ca="1" si="3"/>
        <v>20</v>
      </c>
      <c r="H12">
        <f t="shared" ca="1" si="3"/>
        <v>21</v>
      </c>
      <c r="I12">
        <f t="shared" ca="1" si="3"/>
        <v>22</v>
      </c>
      <c r="J12">
        <f t="shared" ca="1" si="3"/>
        <v>18</v>
      </c>
      <c r="K12">
        <f t="shared" ca="1" si="3"/>
        <v>19</v>
      </c>
      <c r="L12">
        <f t="shared" ca="1" si="3"/>
        <v>18</v>
      </c>
      <c r="N12" s="1">
        <f ca="1">AVERAGE(B12:M12)</f>
        <v>20.545454545454547</v>
      </c>
    </row>
    <row r="14" spans="1:14" x14ac:dyDescent="0.3">
      <c r="A14" t="s">
        <v>181</v>
      </c>
      <c r="B14" t="s">
        <v>116</v>
      </c>
      <c r="C14" t="s">
        <v>66</v>
      </c>
      <c r="D14" t="s">
        <v>101</v>
      </c>
      <c r="E14" t="s">
        <v>182</v>
      </c>
      <c r="F14" t="s">
        <v>68</v>
      </c>
      <c r="G14" t="s">
        <v>57</v>
      </c>
      <c r="H14" t="s">
        <v>183</v>
      </c>
      <c r="I14" t="s">
        <v>76</v>
      </c>
      <c r="J14" t="s">
        <v>184</v>
      </c>
      <c r="K14" t="s">
        <v>185</v>
      </c>
      <c r="L14" t="s">
        <v>70</v>
      </c>
      <c r="N14" s="1"/>
    </row>
    <row r="15" spans="1:14" x14ac:dyDescent="0.3">
      <c r="B15">
        <f ca="1">DATEDIF(VLOOKUP(B14,$P$18:$Q$100,2,FALSE),TODAY(),"Y")</f>
        <v>20</v>
      </c>
      <c r="C15">
        <f t="shared" ref="C15:L15" ca="1" si="4">DATEDIF(VLOOKUP(C14,$P$18:$Q$100,2,FALSE),TODAY(),"Y")</f>
        <v>20</v>
      </c>
      <c r="D15">
        <f t="shared" ca="1" si="4"/>
        <v>26</v>
      </c>
      <c r="E15">
        <f t="shared" ca="1" si="4"/>
        <v>19</v>
      </c>
      <c r="F15">
        <f t="shared" ca="1" si="4"/>
        <v>19</v>
      </c>
      <c r="G15">
        <f t="shared" ca="1" si="4"/>
        <v>20</v>
      </c>
      <c r="H15">
        <f t="shared" ca="1" si="4"/>
        <v>20</v>
      </c>
      <c r="I15">
        <f t="shared" ca="1" si="4"/>
        <v>17</v>
      </c>
      <c r="J15">
        <f t="shared" ca="1" si="4"/>
        <v>17</v>
      </c>
      <c r="K15">
        <f t="shared" ca="1" si="4"/>
        <v>26</v>
      </c>
      <c r="L15">
        <f t="shared" ca="1" si="4"/>
        <v>18</v>
      </c>
      <c r="N15" s="1">
        <f ca="1">AVERAGE(B15:M15)</f>
        <v>20.181818181818183</v>
      </c>
    </row>
    <row r="17" spans="1:20" x14ac:dyDescent="0.3">
      <c r="A17" t="s">
        <v>55</v>
      </c>
      <c r="B17" t="s">
        <v>116</v>
      </c>
      <c r="C17" t="s">
        <v>147</v>
      </c>
      <c r="D17" t="s">
        <v>101</v>
      </c>
      <c r="E17" t="s">
        <v>182</v>
      </c>
      <c r="F17" t="s">
        <v>68</v>
      </c>
      <c r="G17" t="s">
        <v>74</v>
      </c>
      <c r="H17" t="s">
        <v>173</v>
      </c>
      <c r="I17" t="s">
        <v>76</v>
      </c>
      <c r="J17" t="s">
        <v>200</v>
      </c>
      <c r="K17" t="s">
        <v>201</v>
      </c>
      <c r="L17" t="s">
        <v>70</v>
      </c>
      <c r="N17" s="1"/>
    </row>
    <row r="18" spans="1:20" x14ac:dyDescent="0.3">
      <c r="B18">
        <f ca="1">DATEDIF(VLOOKUP(B17,$P$18:$Q$100,2,FALSE),TODAY(),"Y")</f>
        <v>20</v>
      </c>
      <c r="C18">
        <f t="shared" ref="C18:L18" ca="1" si="5">DATEDIF(VLOOKUP(C17,$P$18:$Q$100,2,FALSE),TODAY(),"Y")</f>
        <v>19</v>
      </c>
      <c r="D18">
        <f t="shared" ca="1" si="5"/>
        <v>26</v>
      </c>
      <c r="E18">
        <f t="shared" ca="1" si="5"/>
        <v>19</v>
      </c>
      <c r="F18">
        <f t="shared" ca="1" si="5"/>
        <v>19</v>
      </c>
      <c r="G18">
        <f t="shared" ca="1" si="5"/>
        <v>19</v>
      </c>
      <c r="H18">
        <f t="shared" ca="1" si="5"/>
        <v>21</v>
      </c>
      <c r="I18">
        <f t="shared" ca="1" si="5"/>
        <v>17</v>
      </c>
      <c r="J18">
        <f t="shared" ca="1" si="5"/>
        <v>20</v>
      </c>
      <c r="K18">
        <f t="shared" ca="1" si="5"/>
        <v>26</v>
      </c>
      <c r="L18">
        <f t="shared" ca="1" si="5"/>
        <v>18</v>
      </c>
      <c r="N18" s="1">
        <f ca="1">AVERAGE(B18:M18)</f>
        <v>20.363636363636363</v>
      </c>
      <c r="P18" t="s">
        <v>67</v>
      </c>
      <c r="Q18" s="6">
        <v>38998</v>
      </c>
      <c r="T18">
        <v>34</v>
      </c>
    </row>
    <row r="19" spans="1:20" x14ac:dyDescent="0.3">
      <c r="P19" t="s">
        <v>18</v>
      </c>
      <c r="Q19" s="6">
        <v>37425</v>
      </c>
    </row>
    <row r="20" spans="1:20" x14ac:dyDescent="0.3">
      <c r="A20" t="s">
        <v>41</v>
      </c>
      <c r="B20" t="s">
        <v>116</v>
      </c>
      <c r="C20" t="s">
        <v>185</v>
      </c>
      <c r="D20" t="s">
        <v>18</v>
      </c>
      <c r="E20" t="s">
        <v>65</v>
      </c>
      <c r="F20" t="s">
        <v>68</v>
      </c>
      <c r="G20" t="s">
        <v>74</v>
      </c>
      <c r="H20" t="s">
        <v>173</v>
      </c>
      <c r="I20" t="s">
        <v>148</v>
      </c>
      <c r="J20" t="s">
        <v>66</v>
      </c>
      <c r="K20" t="s">
        <v>201</v>
      </c>
      <c r="L20" t="s">
        <v>70</v>
      </c>
      <c r="N20" s="1"/>
      <c r="P20" t="s">
        <v>101</v>
      </c>
      <c r="Q20" s="6">
        <v>36322</v>
      </c>
    </row>
    <row r="21" spans="1:20" x14ac:dyDescent="0.3">
      <c r="B21">
        <f ca="1">DATEDIF(VLOOKUP(B20,$P$18:$Q$100,2,FALSE),TODAY(),"Y")</f>
        <v>20</v>
      </c>
      <c r="C21">
        <f t="shared" ref="C21:L21" ca="1" si="6">DATEDIF(VLOOKUP(C20,$P$18:$Q$100,2,FALSE),TODAY(),"Y")</f>
        <v>26</v>
      </c>
      <c r="D21">
        <f t="shared" ca="1" si="6"/>
        <v>23</v>
      </c>
      <c r="E21">
        <f t="shared" ca="1" si="6"/>
        <v>22</v>
      </c>
      <c r="F21">
        <f t="shared" ca="1" si="6"/>
        <v>19</v>
      </c>
      <c r="G21">
        <f t="shared" ca="1" si="6"/>
        <v>19</v>
      </c>
      <c r="H21">
        <f t="shared" ca="1" si="6"/>
        <v>21</v>
      </c>
      <c r="I21">
        <f t="shared" ca="1" si="6"/>
        <v>21</v>
      </c>
      <c r="J21">
        <f t="shared" ca="1" si="6"/>
        <v>20</v>
      </c>
      <c r="K21">
        <f t="shared" ca="1" si="6"/>
        <v>26</v>
      </c>
      <c r="L21">
        <f t="shared" ca="1" si="6"/>
        <v>18</v>
      </c>
      <c r="N21" s="1">
        <f ca="1">AVERAGE(B21:M21)</f>
        <v>21.363636363636363</v>
      </c>
      <c r="P21" t="s">
        <v>57</v>
      </c>
      <c r="Q21" s="6">
        <v>38747</v>
      </c>
    </row>
    <row r="22" spans="1:20" x14ac:dyDescent="0.3">
      <c r="P22" t="s">
        <v>66</v>
      </c>
      <c r="Q22" s="6">
        <v>38602</v>
      </c>
    </row>
    <row r="23" spans="1:20" x14ac:dyDescent="0.3">
      <c r="A23" t="s">
        <v>60</v>
      </c>
      <c r="B23" t="s">
        <v>116</v>
      </c>
      <c r="C23" t="s">
        <v>200</v>
      </c>
      <c r="D23" t="s">
        <v>18</v>
      </c>
      <c r="E23" t="s">
        <v>65</v>
      </c>
      <c r="F23" t="s">
        <v>68</v>
      </c>
      <c r="G23" t="s">
        <v>182</v>
      </c>
      <c r="H23" t="s">
        <v>225</v>
      </c>
      <c r="I23" t="s">
        <v>76</v>
      </c>
      <c r="J23" t="s">
        <v>66</v>
      </c>
      <c r="K23" t="s">
        <v>201</v>
      </c>
      <c r="L23" t="s">
        <v>101</v>
      </c>
      <c r="N23" s="1"/>
      <c r="P23" t="s">
        <v>68</v>
      </c>
      <c r="Q23" s="6">
        <v>38873</v>
      </c>
    </row>
    <row r="24" spans="1:20" x14ac:dyDescent="0.3">
      <c r="B24">
        <f ca="1">DATEDIF(VLOOKUP(B23,$P$18:$Q$100,2,FALSE),TODAY(),"Y")</f>
        <v>20</v>
      </c>
      <c r="C24">
        <f t="shared" ref="C24:L24" ca="1" si="7">DATEDIF(VLOOKUP(C23,$P$18:$Q$100,2,FALSE),TODAY(),"Y")</f>
        <v>20</v>
      </c>
      <c r="D24">
        <f t="shared" ca="1" si="7"/>
        <v>23</v>
      </c>
      <c r="E24">
        <f t="shared" ca="1" si="7"/>
        <v>22</v>
      </c>
      <c r="F24">
        <f t="shared" ca="1" si="7"/>
        <v>19</v>
      </c>
      <c r="G24">
        <f t="shared" ca="1" si="7"/>
        <v>19</v>
      </c>
      <c r="H24">
        <f t="shared" ca="1" si="7"/>
        <v>19</v>
      </c>
      <c r="I24">
        <f t="shared" ca="1" si="7"/>
        <v>17</v>
      </c>
      <c r="J24">
        <f t="shared" ca="1" si="7"/>
        <v>20</v>
      </c>
      <c r="K24">
        <f t="shared" ca="1" si="7"/>
        <v>26</v>
      </c>
      <c r="L24">
        <f t="shared" ca="1" si="7"/>
        <v>26</v>
      </c>
      <c r="N24" s="1">
        <f ca="1">AVERAGE(B24:M24)</f>
        <v>21</v>
      </c>
      <c r="P24" t="s">
        <v>76</v>
      </c>
      <c r="Q24" s="6">
        <v>39824</v>
      </c>
    </row>
    <row r="25" spans="1:20" x14ac:dyDescent="0.3">
      <c r="P25" t="s">
        <v>65</v>
      </c>
      <c r="Q25" s="6">
        <v>38030</v>
      </c>
    </row>
    <row r="26" spans="1:20" x14ac:dyDescent="0.3">
      <c r="A26" t="s">
        <v>53</v>
      </c>
      <c r="B26" t="s">
        <v>116</v>
      </c>
      <c r="C26" t="s">
        <v>185</v>
      </c>
      <c r="D26" t="s">
        <v>18</v>
      </c>
      <c r="E26" t="s">
        <v>65</v>
      </c>
      <c r="F26" t="s">
        <v>68</v>
      </c>
      <c r="G26" t="s">
        <v>182</v>
      </c>
      <c r="H26" t="s">
        <v>225</v>
      </c>
      <c r="I26" t="s">
        <v>74</v>
      </c>
      <c r="J26" t="s">
        <v>66</v>
      </c>
      <c r="K26" t="s">
        <v>201</v>
      </c>
      <c r="L26" t="s">
        <v>101</v>
      </c>
      <c r="N26" s="1"/>
      <c r="P26" t="s">
        <v>74</v>
      </c>
      <c r="Q26" s="6">
        <v>38948</v>
      </c>
    </row>
    <row r="27" spans="1:20" x14ac:dyDescent="0.3">
      <c r="B27">
        <f ca="1">DATEDIF(VLOOKUP(B26,$P$18:$Q$100,2,FALSE),TODAY(),"Y")</f>
        <v>20</v>
      </c>
      <c r="C27">
        <f t="shared" ref="C27:L27" ca="1" si="8">DATEDIF(VLOOKUP(C26,$P$18:$Q$100,2,FALSE),TODAY(),"Y")</f>
        <v>26</v>
      </c>
      <c r="D27">
        <f t="shared" ca="1" si="8"/>
        <v>23</v>
      </c>
      <c r="E27">
        <f t="shared" ca="1" si="8"/>
        <v>22</v>
      </c>
      <c r="F27">
        <f t="shared" ca="1" si="8"/>
        <v>19</v>
      </c>
      <c r="G27">
        <f t="shared" ca="1" si="8"/>
        <v>19</v>
      </c>
      <c r="H27">
        <f t="shared" ca="1" si="8"/>
        <v>19</v>
      </c>
      <c r="I27">
        <f t="shared" ca="1" si="8"/>
        <v>19</v>
      </c>
      <c r="J27">
        <f t="shared" ca="1" si="8"/>
        <v>20</v>
      </c>
      <c r="K27">
        <f t="shared" ca="1" si="8"/>
        <v>26</v>
      </c>
      <c r="L27">
        <f t="shared" ca="1" si="8"/>
        <v>26</v>
      </c>
      <c r="N27" s="1">
        <f ca="1">AVERAGE(B27:M27)</f>
        <v>21.727272727272727</v>
      </c>
      <c r="P27" t="s">
        <v>70</v>
      </c>
      <c r="Q27" s="6">
        <v>39252</v>
      </c>
    </row>
    <row r="28" spans="1:20" x14ac:dyDescent="0.3">
      <c r="P28" t="s">
        <v>69</v>
      </c>
      <c r="Q28" s="6">
        <v>38544</v>
      </c>
    </row>
    <row r="29" spans="1:20" x14ac:dyDescent="0.3">
      <c r="A29" t="s">
        <v>169</v>
      </c>
      <c r="B29" t="s">
        <v>116</v>
      </c>
      <c r="C29" t="s">
        <v>200</v>
      </c>
      <c r="D29" t="s">
        <v>18</v>
      </c>
      <c r="E29" t="s">
        <v>65</v>
      </c>
      <c r="F29" t="s">
        <v>68</v>
      </c>
      <c r="G29" t="s">
        <v>76</v>
      </c>
      <c r="H29" t="s">
        <v>225</v>
      </c>
      <c r="I29" t="s">
        <v>57</v>
      </c>
      <c r="J29" t="s">
        <v>66</v>
      </c>
      <c r="K29" t="s">
        <v>201</v>
      </c>
      <c r="L29" t="s">
        <v>101</v>
      </c>
      <c r="N29" s="1"/>
      <c r="P29" t="s">
        <v>117</v>
      </c>
      <c r="Q29" s="6">
        <v>39243</v>
      </c>
    </row>
    <row r="30" spans="1:20" x14ac:dyDescent="0.3">
      <c r="B30">
        <f ca="1">DATEDIF(VLOOKUP(B29,$P$18:$Q$100,2,FALSE),TODAY(),"Y")</f>
        <v>20</v>
      </c>
      <c r="C30">
        <f t="shared" ref="C30:L30" ca="1" si="9">DATEDIF(VLOOKUP(C29,$P$18:$Q$100,2,FALSE),TODAY(),"Y")</f>
        <v>20</v>
      </c>
      <c r="D30">
        <f t="shared" ca="1" si="9"/>
        <v>23</v>
      </c>
      <c r="E30">
        <f t="shared" ca="1" si="9"/>
        <v>22</v>
      </c>
      <c r="F30">
        <f t="shared" ca="1" si="9"/>
        <v>19</v>
      </c>
      <c r="G30">
        <f t="shared" ca="1" si="9"/>
        <v>17</v>
      </c>
      <c r="H30">
        <f t="shared" ca="1" si="9"/>
        <v>19</v>
      </c>
      <c r="I30">
        <f t="shared" ca="1" si="9"/>
        <v>20</v>
      </c>
      <c r="J30">
        <f t="shared" ca="1" si="9"/>
        <v>20</v>
      </c>
      <c r="K30">
        <f t="shared" ca="1" si="9"/>
        <v>26</v>
      </c>
      <c r="L30">
        <f t="shared" ca="1" si="9"/>
        <v>26</v>
      </c>
      <c r="N30" s="1">
        <f ca="1">AVERAGE(B30:M30)</f>
        <v>21.09090909090909</v>
      </c>
      <c r="P30" t="s">
        <v>118</v>
      </c>
      <c r="Q30" s="6">
        <v>36567</v>
      </c>
    </row>
    <row r="31" spans="1:20" x14ac:dyDescent="0.3">
      <c r="P31" t="s">
        <v>116</v>
      </c>
      <c r="Q31" s="6">
        <v>38803</v>
      </c>
    </row>
    <row r="32" spans="1:20" x14ac:dyDescent="0.3">
      <c r="A32" t="s">
        <v>109</v>
      </c>
      <c r="B32" t="s">
        <v>116</v>
      </c>
      <c r="C32" t="s">
        <v>200</v>
      </c>
      <c r="D32" t="s">
        <v>18</v>
      </c>
      <c r="E32" t="s">
        <v>74</v>
      </c>
      <c r="F32" t="s">
        <v>183</v>
      </c>
      <c r="G32" t="s">
        <v>76</v>
      </c>
      <c r="H32" t="s">
        <v>173</v>
      </c>
      <c r="I32" t="s">
        <v>57</v>
      </c>
      <c r="J32" t="s">
        <v>66</v>
      </c>
      <c r="K32" t="s">
        <v>201</v>
      </c>
      <c r="L32" t="s">
        <v>101</v>
      </c>
      <c r="N32" s="1"/>
      <c r="P32" t="s">
        <v>147</v>
      </c>
      <c r="Q32" s="6">
        <v>39050</v>
      </c>
    </row>
    <row r="33" spans="1:17" x14ac:dyDescent="0.3">
      <c r="B33">
        <f ca="1">DATEDIF(VLOOKUP(B32,$P$18:$Q$100,2,FALSE),TODAY(),"Y")</f>
        <v>20</v>
      </c>
      <c r="C33">
        <f t="shared" ref="C33:L33" ca="1" si="10">DATEDIF(VLOOKUP(C32,$P$18:$Q$100,2,FALSE),TODAY(),"Y")</f>
        <v>20</v>
      </c>
      <c r="D33">
        <f t="shared" ca="1" si="10"/>
        <v>23</v>
      </c>
      <c r="E33">
        <f t="shared" ca="1" si="10"/>
        <v>19</v>
      </c>
      <c r="F33">
        <f t="shared" ca="1" si="10"/>
        <v>20</v>
      </c>
      <c r="G33">
        <f t="shared" ca="1" si="10"/>
        <v>17</v>
      </c>
      <c r="H33">
        <f t="shared" ca="1" si="10"/>
        <v>21</v>
      </c>
      <c r="I33">
        <f t="shared" ca="1" si="10"/>
        <v>20</v>
      </c>
      <c r="J33">
        <f t="shared" ca="1" si="10"/>
        <v>20</v>
      </c>
      <c r="K33">
        <f t="shared" ca="1" si="10"/>
        <v>26</v>
      </c>
      <c r="L33">
        <f t="shared" ca="1" si="10"/>
        <v>26</v>
      </c>
      <c r="N33" s="1">
        <f ca="1">AVERAGE(B33:M33)</f>
        <v>21.09090909090909</v>
      </c>
      <c r="P33" t="s">
        <v>148</v>
      </c>
      <c r="Q33" s="6">
        <v>38469</v>
      </c>
    </row>
    <row r="34" spans="1:17" x14ac:dyDescent="0.3">
      <c r="P34" t="s">
        <v>173</v>
      </c>
      <c r="Q34" s="6">
        <v>38419</v>
      </c>
    </row>
    <row r="35" spans="1:17" x14ac:dyDescent="0.3">
      <c r="A35" t="s">
        <v>50</v>
      </c>
      <c r="B35" t="s">
        <v>116</v>
      </c>
      <c r="C35" t="s">
        <v>200</v>
      </c>
      <c r="D35" t="s">
        <v>18</v>
      </c>
      <c r="E35" t="s">
        <v>74</v>
      </c>
      <c r="F35" t="s">
        <v>183</v>
      </c>
      <c r="G35" t="s">
        <v>76</v>
      </c>
      <c r="H35" t="s">
        <v>173</v>
      </c>
      <c r="I35" t="s">
        <v>57</v>
      </c>
      <c r="J35" t="s">
        <v>66</v>
      </c>
      <c r="K35" t="s">
        <v>201</v>
      </c>
      <c r="L35" t="s">
        <v>101</v>
      </c>
      <c r="N35" s="1"/>
      <c r="P35" t="s">
        <v>182</v>
      </c>
      <c r="Q35" s="6">
        <v>38919</v>
      </c>
    </row>
    <row r="36" spans="1:17" x14ac:dyDescent="0.3">
      <c r="B36">
        <f ca="1">DATEDIF(VLOOKUP(B35,$P$18:$Q$100,2,FALSE),TODAY(),"Y")</f>
        <v>20</v>
      </c>
      <c r="C36">
        <f t="shared" ref="C36:L36" ca="1" si="11">DATEDIF(VLOOKUP(C35,$P$18:$Q$100,2,FALSE),TODAY(),"Y")</f>
        <v>20</v>
      </c>
      <c r="D36">
        <f t="shared" ca="1" si="11"/>
        <v>23</v>
      </c>
      <c r="E36">
        <f t="shared" ca="1" si="11"/>
        <v>19</v>
      </c>
      <c r="F36">
        <f t="shared" ca="1" si="11"/>
        <v>20</v>
      </c>
      <c r="G36">
        <f t="shared" ca="1" si="11"/>
        <v>17</v>
      </c>
      <c r="H36">
        <f t="shared" ca="1" si="11"/>
        <v>21</v>
      </c>
      <c r="I36">
        <f t="shared" ca="1" si="11"/>
        <v>20</v>
      </c>
      <c r="J36">
        <f t="shared" ca="1" si="11"/>
        <v>20</v>
      </c>
      <c r="K36">
        <f t="shared" ca="1" si="11"/>
        <v>26</v>
      </c>
      <c r="L36">
        <f t="shared" ca="1" si="11"/>
        <v>26</v>
      </c>
      <c r="N36" s="1">
        <f ca="1">AVERAGE(B36:M36)</f>
        <v>21.09090909090909</v>
      </c>
      <c r="P36" t="s">
        <v>183</v>
      </c>
      <c r="Q36" s="6">
        <v>38799</v>
      </c>
    </row>
    <row r="37" spans="1:17" x14ac:dyDescent="0.3">
      <c r="P37" t="s">
        <v>184</v>
      </c>
      <c r="Q37" s="6">
        <v>39609</v>
      </c>
    </row>
    <row r="38" spans="1:17" x14ac:dyDescent="0.3">
      <c r="A38" t="s">
        <v>153</v>
      </c>
      <c r="B38" t="s">
        <v>255</v>
      </c>
      <c r="C38" t="s">
        <v>147</v>
      </c>
      <c r="D38" t="s">
        <v>18</v>
      </c>
      <c r="E38" t="s">
        <v>74</v>
      </c>
      <c r="F38" t="s">
        <v>183</v>
      </c>
      <c r="G38" t="s">
        <v>148</v>
      </c>
      <c r="H38" t="s">
        <v>70</v>
      </c>
      <c r="I38" t="s">
        <v>57</v>
      </c>
      <c r="J38" t="s">
        <v>66</v>
      </c>
      <c r="K38" t="s">
        <v>201</v>
      </c>
      <c r="L38" t="s">
        <v>101</v>
      </c>
      <c r="N38" s="1"/>
      <c r="P38" t="s">
        <v>185</v>
      </c>
      <c r="Q38" s="6">
        <v>36322</v>
      </c>
    </row>
    <row r="39" spans="1:17" x14ac:dyDescent="0.3">
      <c r="B39">
        <f ca="1">DATEDIF(VLOOKUP(B38,$P$18:$Q$100,2,FALSE),TODAY(),"Y")</f>
        <v>22</v>
      </c>
      <c r="C39">
        <f t="shared" ref="C39:L39" ca="1" si="12">DATEDIF(VLOOKUP(C38,$P$18:$Q$100,2,FALSE),TODAY(),"Y")</f>
        <v>19</v>
      </c>
      <c r="D39">
        <f t="shared" ca="1" si="12"/>
        <v>23</v>
      </c>
      <c r="E39">
        <f t="shared" ca="1" si="12"/>
        <v>19</v>
      </c>
      <c r="F39">
        <f t="shared" ca="1" si="12"/>
        <v>20</v>
      </c>
      <c r="G39">
        <f t="shared" ca="1" si="12"/>
        <v>21</v>
      </c>
      <c r="H39">
        <f t="shared" ca="1" si="12"/>
        <v>18</v>
      </c>
      <c r="I39">
        <f t="shared" ca="1" si="12"/>
        <v>20</v>
      </c>
      <c r="J39">
        <f t="shared" ca="1" si="12"/>
        <v>20</v>
      </c>
      <c r="K39">
        <f t="shared" ca="1" si="12"/>
        <v>26</v>
      </c>
      <c r="L39">
        <f t="shared" ca="1" si="12"/>
        <v>26</v>
      </c>
      <c r="N39" s="1">
        <f ca="1">AVERAGE(B39:M39)</f>
        <v>21.272727272727273</v>
      </c>
      <c r="P39" t="s">
        <v>200</v>
      </c>
      <c r="Q39" s="6">
        <v>38783</v>
      </c>
    </row>
    <row r="40" spans="1:17" x14ac:dyDescent="0.3">
      <c r="P40" t="s">
        <v>201</v>
      </c>
      <c r="Q40" s="6">
        <v>36576</v>
      </c>
    </row>
    <row r="41" spans="1:17" x14ac:dyDescent="0.3">
      <c r="A41" t="s">
        <v>163</v>
      </c>
      <c r="B41" t="s">
        <v>255</v>
      </c>
      <c r="C41" t="s">
        <v>147</v>
      </c>
      <c r="D41" t="s">
        <v>18</v>
      </c>
      <c r="E41" t="s">
        <v>74</v>
      </c>
      <c r="F41" t="s">
        <v>183</v>
      </c>
      <c r="G41" t="s">
        <v>173</v>
      </c>
      <c r="H41" t="s">
        <v>261</v>
      </c>
      <c r="I41" t="s">
        <v>117</v>
      </c>
      <c r="J41" t="s">
        <v>66</v>
      </c>
      <c r="K41" t="s">
        <v>201</v>
      </c>
      <c r="L41" t="s">
        <v>101</v>
      </c>
      <c r="N41" s="1"/>
      <c r="P41" t="s">
        <v>225</v>
      </c>
      <c r="Q41" s="6">
        <v>39206</v>
      </c>
    </row>
    <row r="42" spans="1:17" x14ac:dyDescent="0.3">
      <c r="B42">
        <f ca="1">DATEDIF(VLOOKUP(B41,$P$18:$Q$100,2,FALSE),TODAY(),"Y")</f>
        <v>22</v>
      </c>
      <c r="C42">
        <f t="shared" ref="C42:L42" ca="1" si="13">DATEDIF(VLOOKUP(C41,$P$18:$Q$100,2,FALSE),TODAY(),"Y")</f>
        <v>19</v>
      </c>
      <c r="D42">
        <f t="shared" ca="1" si="13"/>
        <v>23</v>
      </c>
      <c r="E42">
        <f t="shared" ca="1" si="13"/>
        <v>19</v>
      </c>
      <c r="F42">
        <f t="shared" ca="1" si="13"/>
        <v>20</v>
      </c>
      <c r="G42">
        <f t="shared" ca="1" si="13"/>
        <v>21</v>
      </c>
      <c r="H42">
        <f t="shared" ca="1" si="13"/>
        <v>26</v>
      </c>
      <c r="I42">
        <f t="shared" ca="1" si="13"/>
        <v>18</v>
      </c>
      <c r="J42">
        <f t="shared" ca="1" si="13"/>
        <v>20</v>
      </c>
      <c r="K42">
        <f t="shared" ca="1" si="13"/>
        <v>26</v>
      </c>
      <c r="L42">
        <f t="shared" ca="1" si="13"/>
        <v>26</v>
      </c>
      <c r="N42" s="1">
        <f ca="1">AVERAGE(B42:M42)</f>
        <v>21.818181818181817</v>
      </c>
      <c r="P42" t="s">
        <v>255</v>
      </c>
      <c r="Q42" s="6">
        <v>37995</v>
      </c>
    </row>
    <row r="43" spans="1:17" x14ac:dyDescent="0.3">
      <c r="P43" t="s">
        <v>261</v>
      </c>
      <c r="Q43" s="6">
        <v>36554</v>
      </c>
    </row>
    <row r="44" spans="1:17" x14ac:dyDescent="0.3">
      <c r="A44" t="s">
        <v>177</v>
      </c>
      <c r="B44" t="s">
        <v>255</v>
      </c>
      <c r="C44" t="s">
        <v>147</v>
      </c>
      <c r="D44" t="s">
        <v>18</v>
      </c>
      <c r="E44" t="s">
        <v>74</v>
      </c>
      <c r="F44" t="s">
        <v>183</v>
      </c>
      <c r="G44" t="s">
        <v>182</v>
      </c>
      <c r="H44" t="s">
        <v>272</v>
      </c>
      <c r="I44" t="s">
        <v>117</v>
      </c>
      <c r="J44" t="s">
        <v>66</v>
      </c>
      <c r="K44" t="s">
        <v>148</v>
      </c>
      <c r="L44" t="s">
        <v>101</v>
      </c>
      <c r="N44" s="1"/>
      <c r="P44" t="s">
        <v>272</v>
      </c>
      <c r="Q44" s="6">
        <v>38239</v>
      </c>
    </row>
    <row r="45" spans="1:17" x14ac:dyDescent="0.3">
      <c r="B45">
        <f ca="1">DATEDIF(VLOOKUP(B44,$P$18:$Q$100,2,FALSE),TODAY(),"Y")</f>
        <v>22</v>
      </c>
      <c r="C45">
        <f t="shared" ref="C45:L45" ca="1" si="14">DATEDIF(VLOOKUP(C44,$P$18:$Q$100,2,FALSE),TODAY(),"Y")</f>
        <v>19</v>
      </c>
      <c r="D45">
        <f t="shared" ca="1" si="14"/>
        <v>23</v>
      </c>
      <c r="E45">
        <f t="shared" ca="1" si="14"/>
        <v>19</v>
      </c>
      <c r="F45">
        <f t="shared" ca="1" si="14"/>
        <v>20</v>
      </c>
      <c r="G45">
        <f t="shared" ca="1" si="14"/>
        <v>19</v>
      </c>
      <c r="H45">
        <f t="shared" ca="1" si="14"/>
        <v>21</v>
      </c>
      <c r="I45">
        <f t="shared" ca="1" si="14"/>
        <v>18</v>
      </c>
      <c r="J45">
        <f t="shared" ca="1" si="14"/>
        <v>20</v>
      </c>
      <c r="K45">
        <f t="shared" ca="1" si="14"/>
        <v>21</v>
      </c>
      <c r="L45">
        <f t="shared" ca="1" si="14"/>
        <v>26</v>
      </c>
      <c r="N45" s="1">
        <f ca="1">AVERAGE(B45:M45)</f>
        <v>20.727272727272727</v>
      </c>
      <c r="P45" t="s">
        <v>291</v>
      </c>
      <c r="Q45" s="6">
        <v>39164</v>
      </c>
    </row>
    <row r="46" spans="1:17" x14ac:dyDescent="0.3">
      <c r="P46" t="s">
        <v>294</v>
      </c>
      <c r="Q46" s="6">
        <v>39069</v>
      </c>
    </row>
    <row r="47" spans="1:17" x14ac:dyDescent="0.3">
      <c r="A47" t="s">
        <v>49</v>
      </c>
      <c r="B47" t="s">
        <v>255</v>
      </c>
      <c r="C47" t="s">
        <v>147</v>
      </c>
      <c r="D47" t="s">
        <v>18</v>
      </c>
      <c r="E47" t="s">
        <v>74</v>
      </c>
      <c r="F47" t="s">
        <v>183</v>
      </c>
      <c r="G47" t="s">
        <v>201</v>
      </c>
      <c r="H47" t="s">
        <v>57</v>
      </c>
      <c r="I47" t="s">
        <v>117</v>
      </c>
      <c r="J47" t="s">
        <v>66</v>
      </c>
      <c r="K47" t="s">
        <v>225</v>
      </c>
      <c r="L47" t="s">
        <v>101</v>
      </c>
      <c r="N47" s="1"/>
      <c r="P47" t="s">
        <v>297</v>
      </c>
      <c r="Q47" s="6">
        <v>38722</v>
      </c>
    </row>
    <row r="48" spans="1:17" x14ac:dyDescent="0.3">
      <c r="B48">
        <f ca="1">DATEDIF(VLOOKUP(B47,$P$18:$Q$100,2,FALSE),TODAY(),"Y")</f>
        <v>22</v>
      </c>
      <c r="C48">
        <f t="shared" ref="C48:L48" ca="1" si="15">DATEDIF(VLOOKUP(C47,$P$18:$Q$100,2,FALSE),TODAY(),"Y")</f>
        <v>19</v>
      </c>
      <c r="D48">
        <f t="shared" ca="1" si="15"/>
        <v>23</v>
      </c>
      <c r="E48">
        <f t="shared" ca="1" si="15"/>
        <v>19</v>
      </c>
      <c r="F48">
        <f t="shared" ca="1" si="15"/>
        <v>20</v>
      </c>
      <c r="G48">
        <f t="shared" ca="1" si="15"/>
        <v>26</v>
      </c>
      <c r="H48">
        <f t="shared" ca="1" si="15"/>
        <v>20</v>
      </c>
      <c r="I48">
        <f t="shared" ca="1" si="15"/>
        <v>18</v>
      </c>
      <c r="J48">
        <f t="shared" ca="1" si="15"/>
        <v>20</v>
      </c>
      <c r="K48">
        <f t="shared" ca="1" si="15"/>
        <v>19</v>
      </c>
      <c r="L48">
        <f t="shared" ca="1" si="15"/>
        <v>26</v>
      </c>
      <c r="N48" s="1">
        <f ca="1">AVERAGE(B48:M48)</f>
        <v>21.09090909090909</v>
      </c>
      <c r="P48" t="s">
        <v>308</v>
      </c>
      <c r="Q48" s="6">
        <v>39860</v>
      </c>
    </row>
    <row r="49" spans="1:17" x14ac:dyDescent="0.3">
      <c r="P49" t="s">
        <v>335</v>
      </c>
      <c r="Q49" s="6">
        <v>38739</v>
      </c>
    </row>
    <row r="50" spans="1:17" x14ac:dyDescent="0.3">
      <c r="A50" t="s">
        <v>46</v>
      </c>
      <c r="B50" t="s">
        <v>255</v>
      </c>
      <c r="C50" t="s">
        <v>147</v>
      </c>
      <c r="D50" t="s">
        <v>182</v>
      </c>
      <c r="E50" t="s">
        <v>74</v>
      </c>
      <c r="F50" t="s">
        <v>183</v>
      </c>
      <c r="G50" t="s">
        <v>201</v>
      </c>
      <c r="H50" t="s">
        <v>200</v>
      </c>
      <c r="I50" t="s">
        <v>117</v>
      </c>
      <c r="J50" t="s">
        <v>66</v>
      </c>
      <c r="K50" t="s">
        <v>225</v>
      </c>
      <c r="L50" t="s">
        <v>101</v>
      </c>
      <c r="N50" s="1"/>
      <c r="P50" t="s">
        <v>344</v>
      </c>
      <c r="Q50" s="6">
        <v>39206</v>
      </c>
    </row>
    <row r="51" spans="1:17" x14ac:dyDescent="0.3">
      <c r="B51">
        <f ca="1">DATEDIF(VLOOKUP(B50,$P$18:$Q$100,2,FALSE),TODAY(),"Y")</f>
        <v>22</v>
      </c>
      <c r="C51">
        <f t="shared" ref="C51:L51" ca="1" si="16">DATEDIF(VLOOKUP(C50,$P$18:$Q$100,2,FALSE),TODAY(),"Y")</f>
        <v>19</v>
      </c>
      <c r="D51">
        <f t="shared" ca="1" si="16"/>
        <v>19</v>
      </c>
      <c r="E51">
        <f t="shared" ca="1" si="16"/>
        <v>19</v>
      </c>
      <c r="F51">
        <f t="shared" ca="1" si="16"/>
        <v>20</v>
      </c>
      <c r="G51">
        <f t="shared" ca="1" si="16"/>
        <v>26</v>
      </c>
      <c r="H51">
        <f t="shared" ca="1" si="16"/>
        <v>20</v>
      </c>
      <c r="I51">
        <f t="shared" ca="1" si="16"/>
        <v>18</v>
      </c>
      <c r="J51">
        <f t="shared" ca="1" si="16"/>
        <v>20</v>
      </c>
      <c r="K51">
        <f t="shared" ca="1" si="16"/>
        <v>19</v>
      </c>
      <c r="L51">
        <f t="shared" ca="1" si="16"/>
        <v>26</v>
      </c>
      <c r="N51" s="1">
        <f ca="1">AVERAGE(B51:M51)</f>
        <v>20.727272727272727</v>
      </c>
      <c r="P51" t="s">
        <v>345</v>
      </c>
      <c r="Q51" s="6">
        <v>39363</v>
      </c>
    </row>
    <row r="53" spans="1:17" x14ac:dyDescent="0.3">
      <c r="A53" t="s">
        <v>231</v>
      </c>
      <c r="B53" t="s">
        <v>291</v>
      </c>
      <c r="C53" t="s">
        <v>147</v>
      </c>
      <c r="D53" t="s">
        <v>18</v>
      </c>
      <c r="E53" t="s">
        <v>74</v>
      </c>
      <c r="F53" t="s">
        <v>183</v>
      </c>
      <c r="G53" t="s">
        <v>201</v>
      </c>
      <c r="H53" t="s">
        <v>57</v>
      </c>
      <c r="I53" t="s">
        <v>117</v>
      </c>
      <c r="J53" t="s">
        <v>66</v>
      </c>
      <c r="K53" t="s">
        <v>225</v>
      </c>
      <c r="L53" t="s">
        <v>101</v>
      </c>
      <c r="N53" s="1"/>
    </row>
    <row r="54" spans="1:17" x14ac:dyDescent="0.3">
      <c r="B54">
        <f ca="1">DATEDIF(VLOOKUP(B53,$P$18:$Q$100,2,FALSE),TODAY(),"Y")</f>
        <v>19</v>
      </c>
      <c r="C54">
        <f t="shared" ref="C54:L54" ca="1" si="17">DATEDIF(VLOOKUP(C53,$P$18:$Q$100,2,FALSE),TODAY(),"Y")</f>
        <v>19</v>
      </c>
      <c r="D54">
        <f t="shared" ca="1" si="17"/>
        <v>23</v>
      </c>
      <c r="E54">
        <f t="shared" ca="1" si="17"/>
        <v>19</v>
      </c>
      <c r="F54">
        <f t="shared" ca="1" si="17"/>
        <v>20</v>
      </c>
      <c r="G54">
        <f t="shared" ca="1" si="17"/>
        <v>26</v>
      </c>
      <c r="H54">
        <f t="shared" ca="1" si="17"/>
        <v>20</v>
      </c>
      <c r="I54">
        <f t="shared" ca="1" si="17"/>
        <v>18</v>
      </c>
      <c r="J54">
        <f t="shared" ca="1" si="17"/>
        <v>20</v>
      </c>
      <c r="K54">
        <f t="shared" ca="1" si="17"/>
        <v>19</v>
      </c>
      <c r="L54">
        <f t="shared" ca="1" si="17"/>
        <v>26</v>
      </c>
      <c r="N54" s="1">
        <f ca="1">AVERAGE(B54:M54)</f>
        <v>20.818181818181817</v>
      </c>
    </row>
    <row r="56" spans="1:17" x14ac:dyDescent="0.3">
      <c r="A56" t="s">
        <v>181</v>
      </c>
      <c r="B56" t="s">
        <v>291</v>
      </c>
      <c r="C56" t="s">
        <v>294</v>
      </c>
      <c r="D56" t="s">
        <v>18</v>
      </c>
      <c r="E56" t="s">
        <v>74</v>
      </c>
      <c r="F56" t="s">
        <v>65</v>
      </c>
      <c r="G56" t="s">
        <v>201</v>
      </c>
      <c r="H56" t="s">
        <v>57</v>
      </c>
      <c r="I56" t="s">
        <v>117</v>
      </c>
      <c r="J56" t="s">
        <v>66</v>
      </c>
      <c r="K56" t="s">
        <v>225</v>
      </c>
      <c r="L56" t="s">
        <v>101</v>
      </c>
      <c r="N56" s="1"/>
    </row>
    <row r="57" spans="1:17" x14ac:dyDescent="0.3">
      <c r="B57">
        <f ca="1">DATEDIF(VLOOKUP(B56,$P$18:$Q$100,2,FALSE),TODAY(),"Y")</f>
        <v>19</v>
      </c>
      <c r="C57">
        <f t="shared" ref="C57:L57" ca="1" si="18">DATEDIF(VLOOKUP(C56,$P$18:$Q$100,2,FALSE),TODAY(),"Y")</f>
        <v>19</v>
      </c>
      <c r="D57">
        <f t="shared" ca="1" si="18"/>
        <v>23</v>
      </c>
      <c r="E57">
        <f t="shared" ca="1" si="18"/>
        <v>19</v>
      </c>
      <c r="F57">
        <f t="shared" ca="1" si="18"/>
        <v>22</v>
      </c>
      <c r="G57">
        <f t="shared" ca="1" si="18"/>
        <v>26</v>
      </c>
      <c r="H57">
        <f t="shared" ca="1" si="18"/>
        <v>20</v>
      </c>
      <c r="I57">
        <f t="shared" ca="1" si="18"/>
        <v>18</v>
      </c>
      <c r="J57">
        <f t="shared" ca="1" si="18"/>
        <v>20</v>
      </c>
      <c r="K57">
        <f t="shared" ca="1" si="18"/>
        <v>19</v>
      </c>
      <c r="L57">
        <f t="shared" ca="1" si="18"/>
        <v>26</v>
      </c>
      <c r="N57" s="1">
        <f ca="1">AVERAGE(B57:M57)</f>
        <v>21</v>
      </c>
    </row>
    <row r="59" spans="1:17" x14ac:dyDescent="0.3">
      <c r="A59" t="s">
        <v>51</v>
      </c>
      <c r="B59" t="s">
        <v>291</v>
      </c>
      <c r="C59" t="s">
        <v>147</v>
      </c>
      <c r="D59" t="s">
        <v>18</v>
      </c>
      <c r="E59" t="s">
        <v>74</v>
      </c>
      <c r="F59" t="s">
        <v>182</v>
      </c>
      <c r="G59" t="s">
        <v>201</v>
      </c>
      <c r="H59" t="s">
        <v>57</v>
      </c>
      <c r="I59" t="s">
        <v>117</v>
      </c>
      <c r="J59" t="s">
        <v>66</v>
      </c>
      <c r="K59" t="s">
        <v>297</v>
      </c>
      <c r="L59" t="s">
        <v>101</v>
      </c>
      <c r="N59" s="1"/>
    </row>
    <row r="60" spans="1:17" x14ac:dyDescent="0.3">
      <c r="B60">
        <f ca="1">DATEDIF(VLOOKUP(B59,$P$18:$Q$100,2,FALSE),TODAY(),"Y")</f>
        <v>19</v>
      </c>
      <c r="C60">
        <f t="shared" ref="C60:L60" ca="1" si="19">DATEDIF(VLOOKUP(C59,$P$18:$Q$100,2,FALSE),TODAY(),"Y")</f>
        <v>19</v>
      </c>
      <c r="D60">
        <f t="shared" ca="1" si="19"/>
        <v>23</v>
      </c>
      <c r="E60">
        <f t="shared" ca="1" si="19"/>
        <v>19</v>
      </c>
      <c r="F60">
        <f t="shared" ca="1" si="19"/>
        <v>19</v>
      </c>
      <c r="G60">
        <f t="shared" ca="1" si="19"/>
        <v>26</v>
      </c>
      <c r="H60">
        <f t="shared" ca="1" si="19"/>
        <v>20</v>
      </c>
      <c r="I60">
        <f t="shared" ca="1" si="19"/>
        <v>18</v>
      </c>
      <c r="J60">
        <f t="shared" ca="1" si="19"/>
        <v>20</v>
      </c>
      <c r="K60">
        <f t="shared" ca="1" si="19"/>
        <v>20</v>
      </c>
      <c r="L60">
        <f t="shared" ca="1" si="19"/>
        <v>26</v>
      </c>
      <c r="N60" s="1">
        <f ca="1">AVERAGE(B60:M60)</f>
        <v>20.818181818181817</v>
      </c>
    </row>
    <row r="62" spans="1:17" x14ac:dyDescent="0.3">
      <c r="A62" t="s">
        <v>55</v>
      </c>
      <c r="B62" t="s">
        <v>291</v>
      </c>
      <c r="C62" t="s">
        <v>294</v>
      </c>
      <c r="D62" t="s">
        <v>18</v>
      </c>
      <c r="E62" t="s">
        <v>74</v>
      </c>
      <c r="F62" t="s">
        <v>65</v>
      </c>
      <c r="G62" t="s">
        <v>201</v>
      </c>
      <c r="H62" t="s">
        <v>57</v>
      </c>
      <c r="I62" t="s">
        <v>117</v>
      </c>
      <c r="J62" t="s">
        <v>66</v>
      </c>
      <c r="K62" t="s">
        <v>225</v>
      </c>
      <c r="L62" t="s">
        <v>101</v>
      </c>
      <c r="N62" s="1"/>
    </row>
    <row r="63" spans="1:17" x14ac:dyDescent="0.3">
      <c r="B63">
        <f ca="1">DATEDIF(VLOOKUP(B62,$P$18:$Q$100,2,FALSE),TODAY(),"Y")</f>
        <v>19</v>
      </c>
      <c r="C63">
        <f t="shared" ref="C63:L63" ca="1" si="20">DATEDIF(VLOOKUP(C62,$P$18:$Q$100,2,FALSE),TODAY(),"Y")</f>
        <v>19</v>
      </c>
      <c r="D63">
        <f t="shared" ca="1" si="20"/>
        <v>23</v>
      </c>
      <c r="E63">
        <f t="shared" ca="1" si="20"/>
        <v>19</v>
      </c>
      <c r="F63">
        <f t="shared" ca="1" si="20"/>
        <v>22</v>
      </c>
      <c r="G63">
        <f t="shared" ca="1" si="20"/>
        <v>26</v>
      </c>
      <c r="H63">
        <f t="shared" ca="1" si="20"/>
        <v>20</v>
      </c>
      <c r="I63">
        <f t="shared" ca="1" si="20"/>
        <v>18</v>
      </c>
      <c r="J63">
        <f t="shared" ca="1" si="20"/>
        <v>20</v>
      </c>
      <c r="K63">
        <f t="shared" ca="1" si="20"/>
        <v>19</v>
      </c>
      <c r="L63">
        <f t="shared" ca="1" si="20"/>
        <v>26</v>
      </c>
      <c r="N63" s="1">
        <f ca="1">AVERAGE(B63:M63)</f>
        <v>21</v>
      </c>
    </row>
    <row r="65" spans="1:14" x14ac:dyDescent="0.3">
      <c r="A65" t="s">
        <v>41</v>
      </c>
      <c r="B65" t="s">
        <v>116</v>
      </c>
      <c r="C65" t="s">
        <v>294</v>
      </c>
      <c r="D65" t="s">
        <v>18</v>
      </c>
      <c r="E65" t="s">
        <v>74</v>
      </c>
      <c r="F65" t="s">
        <v>65</v>
      </c>
      <c r="G65" t="s">
        <v>201</v>
      </c>
      <c r="H65" t="s">
        <v>57</v>
      </c>
      <c r="I65" t="s">
        <v>117</v>
      </c>
      <c r="J65" t="s">
        <v>66</v>
      </c>
      <c r="K65" t="s">
        <v>308</v>
      </c>
      <c r="L65" t="s">
        <v>101</v>
      </c>
      <c r="N65" s="1"/>
    </row>
    <row r="66" spans="1:14" x14ac:dyDescent="0.3">
      <c r="B66">
        <f ca="1">DATEDIF(VLOOKUP(B65,$P$18:$Q$100,2,FALSE),TODAY(),"Y")</f>
        <v>20</v>
      </c>
      <c r="C66">
        <f t="shared" ref="C66:L66" ca="1" si="21">DATEDIF(VLOOKUP(C65,$P$18:$Q$100,2,FALSE),TODAY(),"Y")</f>
        <v>19</v>
      </c>
      <c r="D66">
        <f t="shared" ca="1" si="21"/>
        <v>23</v>
      </c>
      <c r="E66">
        <f t="shared" ca="1" si="21"/>
        <v>19</v>
      </c>
      <c r="F66">
        <f t="shared" ca="1" si="21"/>
        <v>22</v>
      </c>
      <c r="G66">
        <f t="shared" ca="1" si="21"/>
        <v>26</v>
      </c>
      <c r="H66">
        <f t="shared" ca="1" si="21"/>
        <v>20</v>
      </c>
      <c r="I66">
        <f t="shared" ca="1" si="21"/>
        <v>18</v>
      </c>
      <c r="J66">
        <f t="shared" ca="1" si="21"/>
        <v>20</v>
      </c>
      <c r="K66">
        <f t="shared" ca="1" si="21"/>
        <v>17</v>
      </c>
      <c r="L66">
        <f t="shared" ca="1" si="21"/>
        <v>26</v>
      </c>
      <c r="N66" s="1">
        <f ca="1">AVERAGE(B66:M66)</f>
        <v>20.90909090909091</v>
      </c>
    </row>
    <row r="68" spans="1:14" x14ac:dyDescent="0.3">
      <c r="A68" t="s">
        <v>60</v>
      </c>
      <c r="B68" t="s">
        <v>116</v>
      </c>
      <c r="C68" t="s">
        <v>294</v>
      </c>
      <c r="D68" t="s">
        <v>18</v>
      </c>
      <c r="E68" t="s">
        <v>74</v>
      </c>
      <c r="F68" t="s">
        <v>65</v>
      </c>
      <c r="G68" t="s">
        <v>201</v>
      </c>
      <c r="H68" t="s">
        <v>57</v>
      </c>
      <c r="I68" t="s">
        <v>68</v>
      </c>
      <c r="J68" t="s">
        <v>66</v>
      </c>
      <c r="K68" t="s">
        <v>225</v>
      </c>
      <c r="L68" t="s">
        <v>101</v>
      </c>
      <c r="N68" s="1"/>
    </row>
    <row r="69" spans="1:14" x14ac:dyDescent="0.3">
      <c r="B69">
        <f ca="1">DATEDIF(VLOOKUP(B68,$P$18:$Q$100,2,FALSE),TODAY(),"Y")</f>
        <v>20</v>
      </c>
      <c r="C69">
        <f t="shared" ref="C69:L69" ca="1" si="22">DATEDIF(VLOOKUP(C68,$P$18:$Q$100,2,FALSE),TODAY(),"Y")</f>
        <v>19</v>
      </c>
      <c r="D69">
        <f t="shared" ca="1" si="22"/>
        <v>23</v>
      </c>
      <c r="E69">
        <f t="shared" ca="1" si="22"/>
        <v>19</v>
      </c>
      <c r="F69">
        <f t="shared" ca="1" si="22"/>
        <v>22</v>
      </c>
      <c r="G69">
        <f t="shared" ca="1" si="22"/>
        <v>26</v>
      </c>
      <c r="H69">
        <f t="shared" ca="1" si="22"/>
        <v>20</v>
      </c>
      <c r="I69">
        <f t="shared" ca="1" si="22"/>
        <v>19</v>
      </c>
      <c r="J69">
        <f t="shared" ca="1" si="22"/>
        <v>20</v>
      </c>
      <c r="K69">
        <f t="shared" ca="1" si="22"/>
        <v>19</v>
      </c>
      <c r="L69">
        <f t="shared" ca="1" si="22"/>
        <v>26</v>
      </c>
      <c r="N69" s="1">
        <f ca="1">AVERAGE(B69:M69)</f>
        <v>21.181818181818183</v>
      </c>
    </row>
    <row r="71" spans="1:14" x14ac:dyDescent="0.3">
      <c r="A71" t="s">
        <v>53</v>
      </c>
      <c r="B71" t="s">
        <v>116</v>
      </c>
      <c r="C71" t="s">
        <v>294</v>
      </c>
      <c r="D71" t="s">
        <v>18</v>
      </c>
      <c r="E71" t="s">
        <v>117</v>
      </c>
      <c r="F71" t="s">
        <v>184</v>
      </c>
      <c r="G71" t="s">
        <v>201</v>
      </c>
      <c r="H71" t="s">
        <v>308</v>
      </c>
      <c r="I71" t="s">
        <v>68</v>
      </c>
      <c r="J71" t="s">
        <v>66</v>
      </c>
      <c r="K71" t="s">
        <v>182</v>
      </c>
      <c r="L71" t="s">
        <v>101</v>
      </c>
      <c r="N71" s="1"/>
    </row>
    <row r="72" spans="1:14" x14ac:dyDescent="0.3">
      <c r="B72">
        <f ca="1">DATEDIF(VLOOKUP(B71,$P$18:$Q$100,2,FALSE),TODAY(),"Y")</f>
        <v>20</v>
      </c>
      <c r="C72">
        <f t="shared" ref="C72:L72" ca="1" si="23">DATEDIF(VLOOKUP(C71,$P$18:$Q$100,2,FALSE),TODAY(),"Y")</f>
        <v>19</v>
      </c>
      <c r="D72">
        <f t="shared" ca="1" si="23"/>
        <v>23</v>
      </c>
      <c r="E72">
        <f t="shared" ca="1" si="23"/>
        <v>18</v>
      </c>
      <c r="F72">
        <f t="shared" ca="1" si="23"/>
        <v>17</v>
      </c>
      <c r="G72">
        <f t="shared" ca="1" si="23"/>
        <v>26</v>
      </c>
      <c r="H72">
        <f t="shared" ca="1" si="23"/>
        <v>17</v>
      </c>
      <c r="I72">
        <f t="shared" ca="1" si="23"/>
        <v>19</v>
      </c>
      <c r="J72">
        <f t="shared" ca="1" si="23"/>
        <v>20</v>
      </c>
      <c r="K72">
        <f t="shared" ca="1" si="23"/>
        <v>19</v>
      </c>
      <c r="L72">
        <f t="shared" ca="1" si="23"/>
        <v>26</v>
      </c>
      <c r="N72" s="1">
        <f ca="1">AVERAGE(B72:M72)</f>
        <v>20.363636363636363</v>
      </c>
    </row>
    <row r="74" spans="1:14" x14ac:dyDescent="0.3">
      <c r="A74" t="s">
        <v>169</v>
      </c>
      <c r="B74" t="s">
        <v>116</v>
      </c>
      <c r="C74" t="s">
        <v>294</v>
      </c>
      <c r="D74" t="s">
        <v>18</v>
      </c>
      <c r="E74" t="s">
        <v>117</v>
      </c>
      <c r="F74" t="s">
        <v>65</v>
      </c>
      <c r="G74" t="s">
        <v>201</v>
      </c>
      <c r="H74" t="s">
        <v>308</v>
      </c>
      <c r="I74" t="s">
        <v>68</v>
      </c>
      <c r="J74" t="s">
        <v>66</v>
      </c>
      <c r="K74" t="s">
        <v>182</v>
      </c>
      <c r="L74" t="s">
        <v>101</v>
      </c>
      <c r="N74" s="1"/>
    </row>
    <row r="75" spans="1:14" x14ac:dyDescent="0.3">
      <c r="B75">
        <f ca="1">DATEDIF(VLOOKUP(B74,$P$18:$Q$100,2,FALSE),TODAY(),"Y")</f>
        <v>20</v>
      </c>
      <c r="C75">
        <f t="shared" ref="C75:L75" ca="1" si="24">DATEDIF(VLOOKUP(C74,$P$18:$Q$100,2,FALSE),TODAY(),"Y")</f>
        <v>19</v>
      </c>
      <c r="D75">
        <f t="shared" ca="1" si="24"/>
        <v>23</v>
      </c>
      <c r="E75">
        <f t="shared" ca="1" si="24"/>
        <v>18</v>
      </c>
      <c r="F75">
        <f t="shared" ca="1" si="24"/>
        <v>22</v>
      </c>
      <c r="G75">
        <f t="shared" ca="1" si="24"/>
        <v>26</v>
      </c>
      <c r="H75">
        <f t="shared" ca="1" si="24"/>
        <v>17</v>
      </c>
      <c r="I75">
        <f t="shared" ca="1" si="24"/>
        <v>19</v>
      </c>
      <c r="J75">
        <f t="shared" ca="1" si="24"/>
        <v>20</v>
      </c>
      <c r="K75">
        <f t="shared" ca="1" si="24"/>
        <v>19</v>
      </c>
      <c r="L75">
        <f t="shared" ca="1" si="24"/>
        <v>26</v>
      </c>
      <c r="N75" s="1">
        <f ca="1">AVERAGE(B75:M75)</f>
        <v>20.818181818181817</v>
      </c>
    </row>
    <row r="77" spans="1:14" x14ac:dyDescent="0.3">
      <c r="A77" t="s">
        <v>109</v>
      </c>
      <c r="B77" t="s">
        <v>116</v>
      </c>
      <c r="C77" t="s">
        <v>294</v>
      </c>
      <c r="D77" t="s">
        <v>18</v>
      </c>
      <c r="E77" t="s">
        <v>74</v>
      </c>
      <c r="F77" t="s">
        <v>184</v>
      </c>
      <c r="G77" t="s">
        <v>201</v>
      </c>
      <c r="H77" t="s">
        <v>308</v>
      </c>
      <c r="I77" t="s">
        <v>68</v>
      </c>
      <c r="J77" t="s">
        <v>66</v>
      </c>
      <c r="K77" t="s">
        <v>57</v>
      </c>
      <c r="L77" t="s">
        <v>101</v>
      </c>
      <c r="N77" s="1"/>
    </row>
    <row r="78" spans="1:14" x14ac:dyDescent="0.3">
      <c r="B78">
        <f ca="1">DATEDIF(VLOOKUP(B77,$P$18:$Q$100,2,FALSE),TODAY(),"Y")</f>
        <v>20</v>
      </c>
      <c r="C78">
        <f t="shared" ref="C78:L78" ca="1" si="25">DATEDIF(VLOOKUP(C77,$P$18:$Q$100,2,FALSE),TODAY(),"Y")</f>
        <v>19</v>
      </c>
      <c r="D78">
        <f t="shared" ca="1" si="25"/>
        <v>23</v>
      </c>
      <c r="E78">
        <f t="shared" ca="1" si="25"/>
        <v>19</v>
      </c>
      <c r="F78">
        <f t="shared" ca="1" si="25"/>
        <v>17</v>
      </c>
      <c r="G78">
        <f t="shared" ca="1" si="25"/>
        <v>26</v>
      </c>
      <c r="H78">
        <f t="shared" ca="1" si="25"/>
        <v>17</v>
      </c>
      <c r="I78">
        <f t="shared" ca="1" si="25"/>
        <v>19</v>
      </c>
      <c r="J78">
        <f t="shared" ca="1" si="25"/>
        <v>20</v>
      </c>
      <c r="K78">
        <f t="shared" ca="1" si="25"/>
        <v>20</v>
      </c>
      <c r="L78">
        <f t="shared" ca="1" si="25"/>
        <v>26</v>
      </c>
      <c r="N78" s="1">
        <f ca="1">AVERAGE(B78:M78)</f>
        <v>20.545454545454547</v>
      </c>
    </row>
    <row r="80" spans="1:14" x14ac:dyDescent="0.3">
      <c r="A80" t="s">
        <v>153</v>
      </c>
      <c r="B80" t="s">
        <v>116</v>
      </c>
      <c r="C80" t="s">
        <v>200</v>
      </c>
      <c r="D80" t="s">
        <v>117</v>
      </c>
      <c r="E80" t="s">
        <v>74</v>
      </c>
      <c r="F80" t="s">
        <v>335</v>
      </c>
      <c r="G80" t="s">
        <v>201</v>
      </c>
      <c r="H80" t="s">
        <v>308</v>
      </c>
      <c r="I80" t="s">
        <v>65</v>
      </c>
      <c r="J80" t="s">
        <v>173</v>
      </c>
      <c r="K80" t="s">
        <v>57</v>
      </c>
      <c r="L80" t="s">
        <v>101</v>
      </c>
      <c r="N80" s="1"/>
    </row>
    <row r="81" spans="1:14" x14ac:dyDescent="0.3">
      <c r="B81">
        <f ca="1">DATEDIF(VLOOKUP(B80,$P$18:$Q$100,2,FALSE),TODAY(),"Y")</f>
        <v>20</v>
      </c>
      <c r="C81">
        <f t="shared" ref="C81:L81" ca="1" si="26">DATEDIF(VLOOKUP(C80,$P$18:$Q$100,2,FALSE),TODAY(),"Y")</f>
        <v>20</v>
      </c>
      <c r="D81">
        <f t="shared" ca="1" si="26"/>
        <v>18</v>
      </c>
      <c r="E81">
        <f t="shared" ca="1" si="26"/>
        <v>19</v>
      </c>
      <c r="F81">
        <f t="shared" ca="1" si="26"/>
        <v>20</v>
      </c>
      <c r="G81">
        <f t="shared" ca="1" si="26"/>
        <v>26</v>
      </c>
      <c r="H81">
        <f t="shared" ca="1" si="26"/>
        <v>17</v>
      </c>
      <c r="I81">
        <f t="shared" ca="1" si="26"/>
        <v>22</v>
      </c>
      <c r="J81">
        <f t="shared" ca="1" si="26"/>
        <v>21</v>
      </c>
      <c r="K81">
        <f t="shared" ca="1" si="26"/>
        <v>20</v>
      </c>
      <c r="L81">
        <f t="shared" ca="1" si="26"/>
        <v>26</v>
      </c>
      <c r="N81" s="1">
        <f ca="1">AVERAGE(B81:M81)</f>
        <v>20.818181818181817</v>
      </c>
    </row>
    <row r="83" spans="1:14" x14ac:dyDescent="0.3">
      <c r="A83" t="s">
        <v>203</v>
      </c>
      <c r="B83" t="s">
        <v>116</v>
      </c>
      <c r="C83" t="s">
        <v>200</v>
      </c>
      <c r="D83" t="s">
        <v>117</v>
      </c>
      <c r="E83" t="s">
        <v>74</v>
      </c>
      <c r="F83" t="s">
        <v>294</v>
      </c>
      <c r="G83" t="s">
        <v>201</v>
      </c>
      <c r="H83" t="s">
        <v>308</v>
      </c>
      <c r="I83" t="s">
        <v>65</v>
      </c>
      <c r="J83" t="s">
        <v>66</v>
      </c>
      <c r="K83" t="s">
        <v>57</v>
      </c>
      <c r="L83" t="s">
        <v>101</v>
      </c>
      <c r="N83" s="1"/>
    </row>
    <row r="84" spans="1:14" x14ac:dyDescent="0.3">
      <c r="B84">
        <f ca="1">DATEDIF(VLOOKUP(B83,$P$18:$Q$100,2,FALSE),TODAY(),"Y")</f>
        <v>20</v>
      </c>
      <c r="C84">
        <f t="shared" ref="C84:L84" ca="1" si="27">DATEDIF(VLOOKUP(C83,$P$18:$Q$100,2,FALSE),TODAY(),"Y")</f>
        <v>20</v>
      </c>
      <c r="D84">
        <f t="shared" ca="1" si="27"/>
        <v>18</v>
      </c>
      <c r="E84">
        <f t="shared" ca="1" si="27"/>
        <v>19</v>
      </c>
      <c r="F84">
        <f t="shared" ca="1" si="27"/>
        <v>19</v>
      </c>
      <c r="G84">
        <f t="shared" ca="1" si="27"/>
        <v>26</v>
      </c>
      <c r="H84">
        <f t="shared" ca="1" si="27"/>
        <v>17</v>
      </c>
      <c r="I84">
        <f t="shared" ca="1" si="27"/>
        <v>22</v>
      </c>
      <c r="J84">
        <f t="shared" ca="1" si="27"/>
        <v>20</v>
      </c>
      <c r="K84">
        <f t="shared" ca="1" si="27"/>
        <v>20</v>
      </c>
      <c r="L84">
        <f t="shared" ca="1" si="27"/>
        <v>26</v>
      </c>
      <c r="N84" s="1">
        <f ca="1">AVERAGE(B84:M84)</f>
        <v>20.636363636363637</v>
      </c>
    </row>
    <row r="86" spans="1:14" x14ac:dyDescent="0.3">
      <c r="A86" t="s">
        <v>177</v>
      </c>
      <c r="B86" t="s">
        <v>291</v>
      </c>
      <c r="C86" t="s">
        <v>117</v>
      </c>
      <c r="D86" t="s">
        <v>74</v>
      </c>
      <c r="E86" t="s">
        <v>308</v>
      </c>
      <c r="F86" t="s">
        <v>344</v>
      </c>
      <c r="G86" t="s">
        <v>294</v>
      </c>
      <c r="H86" t="s">
        <v>345</v>
      </c>
      <c r="I86" t="s">
        <v>101</v>
      </c>
      <c r="J86" t="s">
        <v>65</v>
      </c>
      <c r="K86" t="s">
        <v>66</v>
      </c>
      <c r="L86" t="s">
        <v>57</v>
      </c>
      <c r="N86" s="1"/>
    </row>
    <row r="87" spans="1:14" x14ac:dyDescent="0.3">
      <c r="B87">
        <f ca="1">DATEDIF(VLOOKUP(B86,$P$18:$Q$100,2,FALSE),TODAY(),"Y")</f>
        <v>19</v>
      </c>
      <c r="C87">
        <f t="shared" ref="C87:L87" ca="1" si="28">DATEDIF(VLOOKUP(C86,$P$18:$Q$100,2,FALSE),TODAY(),"Y")</f>
        <v>18</v>
      </c>
      <c r="D87">
        <f t="shared" ca="1" si="28"/>
        <v>19</v>
      </c>
      <c r="E87">
        <f t="shared" ca="1" si="28"/>
        <v>17</v>
      </c>
      <c r="F87">
        <f t="shared" ca="1" si="28"/>
        <v>19</v>
      </c>
      <c r="G87">
        <f t="shared" ca="1" si="28"/>
        <v>19</v>
      </c>
      <c r="H87">
        <f t="shared" ca="1" si="28"/>
        <v>18</v>
      </c>
      <c r="I87">
        <f t="shared" ca="1" si="28"/>
        <v>26</v>
      </c>
      <c r="J87">
        <f t="shared" ca="1" si="28"/>
        <v>22</v>
      </c>
      <c r="K87">
        <f t="shared" ca="1" si="28"/>
        <v>20</v>
      </c>
      <c r="L87">
        <f t="shared" ca="1" si="28"/>
        <v>20</v>
      </c>
      <c r="N87" s="1">
        <f ca="1">AVERAGE(B87:M87)</f>
        <v>19.727272727272727</v>
      </c>
    </row>
    <row r="89" spans="1:14" x14ac:dyDescent="0.3">
      <c r="A89" t="s">
        <v>49</v>
      </c>
      <c r="B89" t="s">
        <v>291</v>
      </c>
      <c r="C89" t="s">
        <v>117</v>
      </c>
      <c r="D89" t="s">
        <v>74</v>
      </c>
      <c r="E89" t="s">
        <v>308</v>
      </c>
      <c r="F89" t="s">
        <v>344</v>
      </c>
      <c r="G89" t="s">
        <v>294</v>
      </c>
      <c r="H89" t="s">
        <v>335</v>
      </c>
      <c r="I89" t="s">
        <v>101</v>
      </c>
      <c r="J89" t="s">
        <v>65</v>
      </c>
      <c r="K89" t="s">
        <v>66</v>
      </c>
      <c r="L89" t="s">
        <v>18</v>
      </c>
      <c r="N89" s="1"/>
    </row>
    <row r="90" spans="1:14" x14ac:dyDescent="0.3">
      <c r="B90">
        <f ca="1">DATEDIF(VLOOKUP(B89,$P$18:$Q$100,2,FALSE),TODAY(),"Y")</f>
        <v>19</v>
      </c>
      <c r="C90">
        <f t="shared" ref="C90:L90" ca="1" si="29">DATEDIF(VLOOKUP(C89,$P$18:$Q$100,2,FALSE),TODAY(),"Y")</f>
        <v>18</v>
      </c>
      <c r="D90">
        <f t="shared" ca="1" si="29"/>
        <v>19</v>
      </c>
      <c r="E90">
        <f t="shared" ca="1" si="29"/>
        <v>17</v>
      </c>
      <c r="F90">
        <f t="shared" ca="1" si="29"/>
        <v>19</v>
      </c>
      <c r="G90">
        <f t="shared" ca="1" si="29"/>
        <v>19</v>
      </c>
      <c r="H90">
        <f t="shared" ca="1" si="29"/>
        <v>20</v>
      </c>
      <c r="I90">
        <f t="shared" ca="1" si="29"/>
        <v>26</v>
      </c>
      <c r="J90">
        <f t="shared" ca="1" si="29"/>
        <v>22</v>
      </c>
      <c r="K90">
        <f t="shared" ca="1" si="29"/>
        <v>20</v>
      </c>
      <c r="L90">
        <f t="shared" ca="1" si="29"/>
        <v>23</v>
      </c>
      <c r="N90" s="1">
        <f ca="1">AVERAGE(B90:M90)</f>
        <v>20.181818181818183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Gesamtübersicht</vt:lpstr>
      <vt:lpstr>Alter pro Spieltag</vt:lpstr>
      <vt:lpstr>JWR</vt:lpstr>
      <vt:lpstr>LASK</vt:lpstr>
      <vt:lpstr>Altach Juniors</vt:lpstr>
      <vt:lpstr>Young Violets</vt:lpstr>
      <vt:lpstr>WAC</vt:lpstr>
      <vt:lpstr>Rapid</vt:lpstr>
      <vt:lpstr>Liefering</vt:lpstr>
      <vt:lpstr>Sturm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Demmelbauer Mario</dc:creator>
  <cp:lastModifiedBy>Demmelbauer Mario</cp:lastModifiedBy>
  <cp:lastPrinted>2025-07-26T04:59:30Z</cp:lastPrinted>
  <dcterms:created xsi:type="dcterms:W3CDTF">2024-10-19T06:41:52Z</dcterms:created>
  <dcterms:modified xsi:type="dcterms:W3CDTF">2026-05-21T08:59:17Z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e4292-1f65-4bfd-a814-e338b3282a0f_Enabled">
    <vt:lpwstr>true</vt:lpwstr>
  </property>
  <property fmtid="{D5CDD505-2E9C-101B-9397-08002B2CF9AE}" pid="3" name="MSIP_Label_8e1e4292-1f65-4bfd-a814-e338b3282a0f_SetDate">
    <vt:lpwstr>2024-10-19T07:29:58Z</vt:lpwstr>
  </property>
  <property fmtid="{D5CDD505-2E9C-101B-9397-08002B2CF9AE}" pid="4" name="MSIP_Label_8e1e4292-1f65-4bfd-a814-e338b3282a0f_Method">
    <vt:lpwstr>Privileged</vt:lpwstr>
  </property>
  <property fmtid="{D5CDD505-2E9C-101B-9397-08002B2CF9AE}" pid="5" name="MSIP_Label_8e1e4292-1f65-4bfd-a814-e338b3282a0f_Name">
    <vt:lpwstr>Confidential</vt:lpwstr>
  </property>
  <property fmtid="{D5CDD505-2E9C-101B-9397-08002B2CF9AE}" pid="6" name="MSIP_Label_8e1e4292-1f65-4bfd-a814-e338b3282a0f_SiteId">
    <vt:lpwstr>c32fb207-9871-47a3-bb18-7fba6df963c1</vt:lpwstr>
  </property>
  <property fmtid="{D5CDD505-2E9C-101B-9397-08002B2CF9AE}" pid="7" name="MSIP_Label_8e1e4292-1f65-4bfd-a814-e338b3282a0f_ActionId">
    <vt:lpwstr>bc68a6a1-a9e5-4515-8cf0-586d5b02b906</vt:lpwstr>
  </property>
  <property fmtid="{D5CDD505-2E9C-101B-9397-08002B2CF9AE}" pid="8" name="MSIP_Label_8e1e4292-1f65-4bfd-a814-e338b3282a0f_ContentBits">
    <vt:lpwstr>1</vt:lpwstr>
  </property>
</Properties>
</file>