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462" documentId="8_{B13851A0-BF92-44E0-9E4C-BF4EA78055B0}" xr6:coauthVersionLast="47" xr6:coauthVersionMax="47" xr10:uidLastSave="{1F949BB2-C36C-42E8-B609-E03F1D344D88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5" l="1"/>
  <c r="K60" i="5"/>
  <c r="J60" i="5"/>
  <c r="I60" i="5"/>
  <c r="H60" i="5"/>
  <c r="G60" i="5"/>
  <c r="F60" i="5"/>
  <c r="E60" i="5"/>
  <c r="D60" i="5"/>
  <c r="C60" i="5"/>
  <c r="B60" i="5"/>
  <c r="L72" i="8"/>
  <c r="K72" i="8"/>
  <c r="J72" i="8"/>
  <c r="I72" i="8"/>
  <c r="H72" i="8"/>
  <c r="G72" i="8"/>
  <c r="F72" i="8"/>
  <c r="E72" i="8"/>
  <c r="D72" i="8"/>
  <c r="C72" i="8"/>
  <c r="B72" i="8"/>
  <c r="L72" i="9"/>
  <c r="K72" i="9"/>
  <c r="J72" i="9"/>
  <c r="I72" i="9"/>
  <c r="H72" i="9"/>
  <c r="G72" i="9"/>
  <c r="F72" i="9"/>
  <c r="E72" i="9"/>
  <c r="D72" i="9"/>
  <c r="C72" i="9"/>
  <c r="B72" i="9"/>
  <c r="L72" i="4"/>
  <c r="K72" i="4"/>
  <c r="J72" i="4"/>
  <c r="I72" i="4"/>
  <c r="H72" i="4"/>
  <c r="G72" i="4"/>
  <c r="F72" i="4"/>
  <c r="E72" i="4"/>
  <c r="D72" i="4"/>
  <c r="C72" i="4"/>
  <c r="B72" i="4"/>
  <c r="L69" i="7"/>
  <c r="K69" i="7"/>
  <c r="J69" i="7"/>
  <c r="I69" i="7"/>
  <c r="H69" i="7"/>
  <c r="G69" i="7"/>
  <c r="F69" i="7"/>
  <c r="E69" i="7"/>
  <c r="D69" i="7"/>
  <c r="C69" i="7"/>
  <c r="B69" i="7"/>
  <c r="L69" i="4"/>
  <c r="K69" i="4"/>
  <c r="J69" i="4"/>
  <c r="I69" i="4"/>
  <c r="H69" i="4"/>
  <c r="G69" i="4"/>
  <c r="F69" i="4"/>
  <c r="E69" i="4"/>
  <c r="D69" i="4"/>
  <c r="C69" i="4"/>
  <c r="B69" i="4"/>
  <c r="L69" i="9"/>
  <c r="K69" i="9"/>
  <c r="J69" i="9"/>
  <c r="I69" i="9"/>
  <c r="H69" i="9"/>
  <c r="G69" i="9"/>
  <c r="F69" i="9"/>
  <c r="E69" i="9"/>
  <c r="D69" i="9"/>
  <c r="C69" i="9"/>
  <c r="B69" i="9"/>
  <c r="L69" i="8"/>
  <c r="K69" i="8"/>
  <c r="J69" i="8"/>
  <c r="I69" i="8"/>
  <c r="H69" i="8"/>
  <c r="G69" i="8"/>
  <c r="F69" i="8"/>
  <c r="E69" i="8"/>
  <c r="D69" i="8"/>
  <c r="C69" i="8"/>
  <c r="B69" i="8"/>
  <c r="L63" i="1"/>
  <c r="K63" i="1"/>
  <c r="J63" i="1"/>
  <c r="I63" i="1"/>
  <c r="H63" i="1"/>
  <c r="G63" i="1"/>
  <c r="F63" i="1"/>
  <c r="E63" i="1"/>
  <c r="D63" i="1"/>
  <c r="C63" i="1"/>
  <c r="B63" i="1"/>
  <c r="L57" i="5"/>
  <c r="K57" i="5"/>
  <c r="J57" i="5"/>
  <c r="I57" i="5"/>
  <c r="H57" i="5"/>
  <c r="G57" i="5"/>
  <c r="F57" i="5"/>
  <c r="E57" i="5"/>
  <c r="D57" i="5"/>
  <c r="C57" i="5"/>
  <c r="B57" i="5"/>
  <c r="L63" i="3"/>
  <c r="K63" i="3"/>
  <c r="J63" i="3"/>
  <c r="I63" i="3"/>
  <c r="H63" i="3"/>
  <c r="G63" i="3"/>
  <c r="F63" i="3"/>
  <c r="E63" i="3"/>
  <c r="D63" i="3"/>
  <c r="C63" i="3"/>
  <c r="B63" i="3"/>
  <c r="L63" i="2"/>
  <c r="K63" i="2"/>
  <c r="J63" i="2"/>
  <c r="I63" i="2"/>
  <c r="H63" i="2"/>
  <c r="G63" i="2"/>
  <c r="F63" i="2"/>
  <c r="E63" i="2"/>
  <c r="D63" i="2"/>
  <c r="C63" i="2"/>
  <c r="B63" i="2"/>
  <c r="L60" i="3"/>
  <c r="K60" i="3"/>
  <c r="J60" i="3"/>
  <c r="I60" i="3"/>
  <c r="H60" i="3"/>
  <c r="G60" i="3"/>
  <c r="F60" i="3"/>
  <c r="E60" i="3"/>
  <c r="D60" i="3"/>
  <c r="C60" i="3"/>
  <c r="B60" i="3"/>
  <c r="L60" i="1"/>
  <c r="K60" i="1"/>
  <c r="J60" i="1"/>
  <c r="I60" i="1"/>
  <c r="H60" i="1"/>
  <c r="G60" i="1"/>
  <c r="F60" i="1"/>
  <c r="E60" i="1"/>
  <c r="D60" i="1"/>
  <c r="C60" i="1"/>
  <c r="B60" i="1"/>
  <c r="L60" i="2"/>
  <c r="K60" i="2"/>
  <c r="J60" i="2"/>
  <c r="I60" i="2"/>
  <c r="H60" i="2"/>
  <c r="G60" i="2"/>
  <c r="F60" i="2"/>
  <c r="E60" i="2"/>
  <c r="D60" i="2"/>
  <c r="C60" i="2"/>
  <c r="B60" i="2"/>
  <c r="L66" i="8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V4" i="11" a="1"/>
  <c r="N60" i="5" l="1"/>
  <c r="N72" i="8"/>
  <c r="N72" i="9"/>
  <c r="N72" i="4"/>
  <c r="N69" i="7"/>
  <c r="N69" i="4"/>
  <c r="N69" i="9"/>
  <c r="N69" i="8"/>
  <c r="N63" i="1"/>
  <c r="N57" i="5"/>
  <c r="N63" i="3"/>
  <c r="N63" i="2"/>
  <c r="N60" i="3"/>
  <c r="N60" i="1"/>
  <c r="N60" i="2"/>
  <c r="N66" i="8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V4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U4" i="11" a="1"/>
  <c r="B8" i="11" a="1"/>
  <c r="P2" i="11" a="1"/>
  <c r="G5" i="11" a="1"/>
  <c r="S5" i="11" a="1"/>
  <c r="U7" i="11" a="1"/>
  <c r="L8" i="11" a="1"/>
  <c r="N2" i="11" a="1"/>
  <c r="N8" i="11" a="1"/>
  <c r="V2" i="11" a="1"/>
  <c r="O8" i="11" a="1"/>
  <c r="S9" i="11" a="1"/>
  <c r="D6" i="11" a="1"/>
  <c r="N4" i="11" a="1"/>
  <c r="M5" i="11" a="1"/>
  <c r="E5" i="11" a="1"/>
  <c r="I4" i="11" a="1"/>
  <c r="N6" i="11" a="1"/>
  <c r="U5" i="11" a="1"/>
  <c r="T2" i="11" a="1"/>
  <c r="H8" i="11" a="1"/>
  <c r="D7" i="11" a="1"/>
  <c r="D8" i="11" a="1"/>
  <c r="Q9" i="11" a="1"/>
  <c r="N5" i="11" a="1"/>
  <c r="H9" i="11" a="1"/>
  <c r="C8" i="11" a="1"/>
  <c r="C4" i="11" a="1"/>
  <c r="D9" i="11" a="1"/>
  <c r="O5" i="11" a="1"/>
  <c r="R7" i="11" a="1"/>
  <c r="L2" i="11" a="1"/>
  <c r="T7" i="11" a="1"/>
  <c r="I2" i="11" a="1"/>
  <c r="P9" i="11" a="1"/>
  <c r="I3" i="11" a="1"/>
  <c r="C6" i="11" a="1"/>
  <c r="P5" i="11" a="1"/>
  <c r="Q3" i="11" a="1"/>
  <c r="P7" i="11" a="1"/>
  <c r="B2" i="11" a="1"/>
  <c r="V9" i="11" a="1"/>
  <c r="G2" i="11" a="1"/>
  <c r="V7" i="11" a="1"/>
  <c r="B4" i="11" a="1"/>
  <c r="U9" i="11" a="1"/>
  <c r="K9" i="11" a="1"/>
  <c r="I8" i="11" a="1"/>
  <c r="N3" i="11" a="1"/>
  <c r="C3" i="11" a="1"/>
  <c r="T4" i="11" a="1"/>
  <c r="H6" i="11" a="1"/>
  <c r="R8" i="11" a="1"/>
  <c r="P3" i="11" a="1"/>
  <c r="E4" i="11" a="1"/>
  <c r="K5" i="11" a="1"/>
  <c r="M7" i="11" a="1"/>
  <c r="P6" i="11" a="1"/>
  <c r="M8" i="11" a="1"/>
  <c r="I6" i="11" a="1"/>
  <c r="S2" i="11" a="1"/>
  <c r="F5" i="11" a="1"/>
  <c r="G6" i="11" a="1"/>
  <c r="Q8" i="11" a="1"/>
  <c r="C7" i="11" a="1"/>
  <c r="R5" i="11" a="1"/>
  <c r="V3" i="11" a="1"/>
  <c r="T5" i="11" a="1"/>
  <c r="K8" i="11" a="1"/>
  <c r="E3" i="11" a="1"/>
  <c r="L6" i="11" a="1"/>
  <c r="N7" i="11" a="1"/>
  <c r="T9" i="11" a="1"/>
  <c r="D4" i="11" a="1"/>
  <c r="J4" i="11" a="1"/>
  <c r="K3" i="11" a="1"/>
  <c r="G7" i="11" a="1"/>
  <c r="J5" i="11" a="1"/>
  <c r="S3" i="11" a="1"/>
  <c r="O7" i="11" a="1"/>
  <c r="J2" i="11" a="1"/>
  <c r="R9" i="11" a="1"/>
  <c r="S6" i="11" a="1"/>
  <c r="H2" i="11" a="1"/>
  <c r="B5" i="11" a="1"/>
  <c r="M2" i="11" a="1"/>
  <c r="E8" i="11" a="1"/>
  <c r="Q7" i="11" a="1"/>
  <c r="B3" i="11" a="1"/>
  <c r="S4" i="11" a="1"/>
  <c r="E7" i="11" a="1"/>
  <c r="F7" i="11" a="1"/>
  <c r="V8" i="11" a="1"/>
  <c r="P8" i="11" a="1"/>
  <c r="L3" i="11" a="1"/>
  <c r="M9" i="11" a="1"/>
  <c r="J9" i="11" a="1"/>
  <c r="V5" i="11" a="1"/>
  <c r="T6" i="11" a="1"/>
  <c r="D2" i="11" a="1"/>
  <c r="C2" i="11" a="1"/>
  <c r="R2" i="11" a="1"/>
  <c r="H7" i="11" a="1"/>
  <c r="F3" i="11" a="1"/>
  <c r="F6" i="11" a="1"/>
  <c r="Q4" i="11" a="1"/>
  <c r="S8" i="11" a="1"/>
  <c r="O6" i="11" a="1"/>
  <c r="O4" i="11" a="1"/>
  <c r="G8" i="11" a="1"/>
  <c r="L9" i="11" a="1"/>
  <c r="I9" i="11" a="1"/>
  <c r="K6" i="11" a="1"/>
  <c r="K7" i="11" a="1"/>
  <c r="N9" i="11" a="1"/>
  <c r="M4" i="11" a="1"/>
  <c r="L5" i="11" a="1"/>
  <c r="B9" i="11" a="1"/>
  <c r="O9" i="11" a="1"/>
  <c r="R3" i="11" a="1"/>
  <c r="B7" i="11" a="1"/>
  <c r="V6" i="11" a="1"/>
  <c r="E2" i="11" a="1"/>
  <c r="F9" i="11" a="1"/>
  <c r="J3" i="11" a="1"/>
  <c r="Q2" i="11" a="1"/>
  <c r="G9" i="11" a="1"/>
  <c r="E9" i="11" a="1"/>
  <c r="M3" i="11" a="1"/>
  <c r="H4" i="11" a="1"/>
  <c r="G4" i="11" a="1"/>
  <c r="D5" i="11" a="1"/>
  <c r="G3" i="11" a="1"/>
  <c r="E6" i="11" a="1"/>
  <c r="T8" i="11" a="1"/>
  <c r="K4" i="11" a="1"/>
  <c r="P4" i="11" a="1"/>
  <c r="J6" i="11" a="1"/>
  <c r="M6" i="11" a="1"/>
  <c r="U6" i="11" a="1"/>
  <c r="F4" i="11" a="1"/>
  <c r="Q5" i="11" a="1"/>
  <c r="I5" i="11" a="1"/>
  <c r="I7" i="11" a="1"/>
  <c r="L7" i="11" a="1"/>
  <c r="U2" i="11" a="1"/>
  <c r="F8" i="11" a="1"/>
  <c r="C9" i="11" a="1"/>
  <c r="J7" i="11" a="1"/>
  <c r="U3" i="11" a="1"/>
  <c r="H5" i="11" a="1"/>
  <c r="O2" i="11" a="1"/>
  <c r="U8" i="11" a="1"/>
  <c r="K2" i="11" a="1"/>
  <c r="F2" i="11" a="1"/>
  <c r="J8" i="11" a="1"/>
  <c r="D3" i="11" a="1"/>
  <c r="C5" i="11" a="1"/>
  <c r="S7" i="11" a="1"/>
  <c r="H3" i="11" a="1"/>
  <c r="R6" i="11" a="1"/>
  <c r="Q6" i="11" a="1"/>
  <c r="B6" i="11" a="1"/>
  <c r="L4" i="11" a="1"/>
  <c r="R4" i="11" a="1"/>
  <c r="O3" i="11" a="1"/>
  <c r="T3" i="11" a="1"/>
  <c r="U4" i="11" l="1"/>
  <c r="V2" i="11"/>
  <c r="T4" i="11"/>
  <c r="V6" i="11"/>
  <c r="V3" i="11"/>
  <c r="U6" i="11"/>
  <c r="U2" i="11"/>
  <c r="U3" i="11"/>
  <c r="S4" i="1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3" i="6" s="1"/>
  <c r="N1" i="9"/>
  <c r="B2" i="6" s="1"/>
  <c r="N1" i="3"/>
  <c r="B8" i="6" s="1"/>
  <c r="N1" i="4"/>
  <c r="B9" i="6" s="1"/>
  <c r="N1" i="2"/>
  <c r="B6" i="6" s="1"/>
  <c r="N1" i="1"/>
  <c r="B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<sst xmlns="http://schemas.openxmlformats.org/spreadsheetml/2006/main" count="2429" uniqueCount="321">
  <si>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</si>
  <si>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</si>
  <si>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</si>
  <si>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</si>
  <si>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</si>
  <si>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</si>
  <si>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</si>
  <si>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</si>
  <si>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</si>
  <si>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</si>
  <si>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</si>
  <si>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</si>
  <si>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</si>
  <si>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</si>
  <si>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</si>
  <si>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</si>
  <si>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</si>
  <si>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</si>
  <si>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</si>
  <si>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</si>
  <si>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</si>
  <si>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</si>
  <si>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</si>
  <si>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</si>
  <si>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</si>
  <si>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</si>
  <si>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</si>
  <si>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</si>
  <si>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</si>
  <si>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</si>
  <si>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</si>
  <si>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</si>
  <si>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</si>
  <si>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</si>
  <si>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</si>
  <si>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</si>
  <si>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</si>
  <si>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</si>
  <si>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</si>
  <si>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</si>
  <si>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</si>
  <si>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</si>
  <si>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</si>
  <si>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</si>
  <si>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</si>
  <si>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</si>
  <si>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</si>
  <si>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</si>
  <si>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</si>
  <si>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</si>
  <si>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</si>
  <si>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</si>
  <si>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</si>
  <si>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</si>
  <si>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</si>
  <si>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</si>
  <si>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</si>
  <si>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</si>
  <si>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</si>
  <si>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</si>
  <si>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</si>
  <si>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</si>
  <si>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</si>
  <si>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</si>
  <si>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</si>
  <si>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</si>
  <si>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</si>
  <si>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</si>
  <si>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</si>
  <si>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</si>
  <si>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</si>
  <si>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</si>
  <si>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</si>
  <si>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</si>
  <si>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</si>
  <si>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</si>
  <si>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</si>
  <si>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</si>
  <si>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</si>
  <si>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</si>
  <si>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</si>
  <si>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</si>
  <si>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</si>
  <si>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</si>
  <si>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</si>
  <si>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</si>
  <si>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</si>
  <si>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</si>
  <si>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</si>
  <si>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</si>
  <si>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</si>
  <si>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</si>
  <si>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</si>
  <si>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</si>
  <si>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</si>
  <si>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</si>
  <si>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</si>
  <si>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</si>
  <si>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</si>
  <si>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</si>
  <si>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</si>
  <si>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</si>
  <si>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</si>
  <si>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</si>
  <si>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</si>
  <si>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</si>
  <si>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</si>
  <si>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</si>
  <si>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</si>
  <si>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</si>
  <si>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</si>
  <si>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</si>
  <si>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</si>
  <si>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</si>
  <si>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</si>
  <si>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</si>
  <si>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</si>
  <si>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</si>
  <si>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</si>
  <si>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</si>
  <si>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</si>
  <si>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</si>
  <si>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</si>
  <si>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</si>
  <si>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</si>
  <si>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</si>
  <si>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</si>
  <si>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</si>
  <si>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</si>
  <si>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</si>
  <si>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</si>
  <si>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</si>
  <si>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</si>
  <si>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</si>
  <si>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</si>
  <si>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</si>
  <si>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</si>
  <si>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</si>
  <si>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</si>
  <si>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</si>
  <si>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</si>
  <si>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</si>
  <si>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</si>
  <si>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</si>
  <si>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</si>
  <si>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</si>
  <si>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</si>
  <si>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</si>
  <si>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</si>
  <si>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</si>
  <si>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</si>
  <si>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</si>
  <si>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</si>
  <si>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</si>
  <si>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</si>
  <si>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</si>
  <si>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</si>
  <si>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</si>
  <si>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</si>
  <si>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</si>
  <si>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</si>
  <si>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</si>
  <si>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</si>
  <si>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</si>
  <si>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</si>
  <si>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</si>
  <si>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</si>
  <si>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</si>
  <si>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</si>
  <si>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</si>
  <si>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</si>
  <si>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</si>
  <si>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</si>
  <si>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</si>
  <si>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</si>
  <si>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</si>
  <si>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</si>
  <si>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</si>
  <si>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</si>
  <si>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</si>
  <si>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</si>
  <si>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</si>
  <si>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</si>
  <si>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</si>
  <si>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</si>
  <si>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</si>
  <si>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</si>
  <si>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</si>
  <si>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</si>
  <si>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</si>
  <si>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</si>
  <si>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</si>
  <si>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</si>
  <si>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</si>
  <si>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</si>
  <si>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</si>
  <si>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</si>
  <si>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</si>
  <si>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</si>
  <si>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</si>
  <si>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</si>
  <si>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</si>
  <si>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</si>
  <si>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</si>
  <si>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</si>
  <si>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</si>
  <si>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</si>
  <si>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</si>
  <si>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</si>
  <si>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</si>
  <si>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</si>
  <si>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</si>
  <si>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</si>
  <si>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</si>
  <si>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</si>
  <si>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</si>
  <si>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</si>
  <si>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</si>
  <si>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</si>
  <si>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</si>
  <si>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</si>
  <si>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</si>
  <si>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</si>
  <si>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</si>
  <si>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</si>
  <si>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</si>
  <si>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</si>
  <si>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</si>
  <si>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</si>
  <si>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</si>
  <si>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</si>
  <si>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</si>
  <si>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</si>
  <si>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</si>
  <si>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</si>
  <si>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</si>
  <si>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</si>
  <si>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</si>
  <si>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</si>
  <si>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</si>
  <si>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</si>
  <si>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</si>
  <si>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</si>
  <si>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</si>
  <si>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</si>
  <si>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</si>
  <si>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</si>
  <si>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</si>
  <si>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</si>
  <si>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</si>
  <si>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</si>
  <si>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</si>
  <si>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</si>
  <si>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</si>
  <si>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</si>
  <si>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</si>
  <si>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</si>
  <si>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</si>
  <si>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</si>
  <si>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</si>
  <si>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</si>
  <si>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</si>
  <si>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</si>
  <si>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</si>
  <si>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</si>
  <si>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</si>
  <si>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</si>
  <si>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</si>
  <si>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</si>
  <si>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</si>
  <si>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</si>
  <si>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</si>
  <si>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</si>
  <si>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</si>
  <si>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</si>
  <si>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</si>
  <si>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</si>
  <si>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</si>
  <si>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</si>
  <si>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</si>
  <si>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</si>
  <si>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</si>
  <si>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</si>
  <si>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</si>
  <si>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</si>
  <si>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</si>
  <si>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</si>
  <si>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</si>
  <si>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</si>
  <si>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</si>
  <si>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</si>
  <si>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</si>
  <si>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</si>
  <si>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</si>
  <si>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</si>
  <si>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</si>
  <si>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</si>
  <si>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</si>
  <si>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</si>
  <si>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</si>
  <si>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</si>
  <si>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</si>
  <si>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</si>
  <si>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</si>
  <si>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</si>
  <si>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</si>
  <si>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</si>
  <si>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</si>
  <si>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</si>
  <si>
    <t>Coulibaly</t>
  </si>
  <si>
    <t>Adeshina</t>
  </si>
  <si>
    <t>Bogou</t>
  </si>
  <si>
    <t>Scherzer</t>
  </si>
  <si>
    <t>Drabo</t>
  </si>
  <si>
    <t>Dermane</t>
  </si>
  <si>
    <t>Rahmani</t>
  </si>
  <si>
    <t>Kolp</t>
  </si>
  <si>
    <t>Blazevic</t>
  </si>
  <si>
    <t>Stöckl</t>
  </si>
  <si>
    <t>Brandt</t>
  </si>
  <si>
    <t>Benjamin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</si>
</sst>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19.636363636363637</c:v>
                </c:pt>
                <c:pt idx="1">
                  <c:v>18.636363636363637</c:v>
                </c:pt>
                <c:pt idx="2">
                  <c:v>21.181818181818183</c:v>
                </c:pt>
                <c:pt idx="3">
                  <c:v>19.90909090909091</c:v>
                </c:pt>
                <c:pt idx="4">
                  <c:v>20.818181818181817</c:v>
                </c:pt>
                <c:pt idx="5">
                  <c:v>19</c:v>
                </c:pt>
                <c:pt idx="6">
                  <c:v>18.727272727272727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19.363636363636363</c:v>
                </c:pt>
                <c:pt idx="19">
                  <c:v>22</c:v>
                </c:pt>
                <c:pt idx="20">
                  <c:v>21.363636363636363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19.727272727272727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19.454545454545453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19.454545454545453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19.545454545454547</c:v>
                </c:pt>
                <c:pt idx="36" formatCode="0.00">
                  <c:v>19.636363636363637</c:v>
                </c:pt>
                <c:pt idx="39" formatCode="0.00">
                  <c:v>19.363636363636363</c:v>
                </c:pt>
                <c:pt idx="42" formatCode="0.00">
                  <c:v>19.727272727272727</c:v>
                </c:pt>
                <c:pt idx="45" formatCode="0.00">
                  <c:v>19.545454545454547</c:v>
                </c:pt>
                <c:pt idx="48" formatCode="0.00">
                  <c:v>19.454545454545453</c:v>
                </c:pt>
                <c:pt idx="51" formatCode="0.00">
                  <c:v>19.09090909090909</c:v>
                </c:pt>
                <c:pt idx="54" formatCode="0.00">
                  <c:v>19.454545454545453</c:v>
                </c:pt>
                <c:pt idx="55" formatCode="0.00">
                  <c:v>19.636363636363637</c:v>
                </c:pt>
                <c:pt idx="56" formatCode="0.00">
                  <c:v>19.363636363636363</c:v>
                </c:pt>
                <c:pt idx="57" formatCode="0.00">
                  <c:v>19.272727272727273</c:v>
                </c:pt>
                <c:pt idx="58" formatCode="0.00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  <c:pt idx="58" formatCode="0.00">
                  <c:v>21.09090909090909</c:v>
                </c:pt>
                <c:pt idx="59" formatCode="0.00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20.454545454545453</c:v>
                </c:pt>
                <c:pt idx="3">
                  <c:v>19.90909090909091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20.363636363636363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20.272727272727273</c:v>
                </c:pt>
                <c:pt idx="12">
                  <c:v>20.181818181818183</c:v>
                </c:pt>
                <c:pt idx="13">
                  <c:v>20.181818181818183</c:v>
                </c:pt>
                <c:pt idx="14">
                  <c:v>20.363636363636363</c:v>
                </c:pt>
                <c:pt idx="15">
                  <c:v>20.09090909090909</c:v>
                </c:pt>
                <c:pt idx="16">
                  <c:v>19.545454545454547</c:v>
                </c:pt>
                <c:pt idx="17">
                  <c:v>19.09090909090909</c:v>
                </c:pt>
                <c:pt idx="18">
                  <c:v>19.181818181818183</c:v>
                </c:pt>
                <c:pt idx="19">
                  <c:v>20.181818181818183</c:v>
                </c:pt>
                <c:pt idx="20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  <c:pt idx="58">
                  <c:v>18.727272727272727</c:v>
                </c:pt>
                <c:pt idx="59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19,64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20.454545454545453</c:v>
                </c:pt>
                <c:pt idx="3">
                  <c:v>19.90909090909091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20.363636363636363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20.272727272727273</c:v>
                </c:pt>
                <c:pt idx="12">
                  <c:v>20.181818181818183</c:v>
                </c:pt>
                <c:pt idx="13">
                  <c:v>20.181818181818183</c:v>
                </c:pt>
                <c:pt idx="14">
                  <c:v>20.363636363636363</c:v>
                </c:pt>
                <c:pt idx="15">
                  <c:v>20.09090909090909</c:v>
                </c:pt>
                <c:pt idx="16">
                  <c:v>19.545454545454547</c:v>
                </c:pt>
                <c:pt idx="17">
                  <c:v>19.09090909090909</c:v>
                </c:pt>
                <c:pt idx="18">
                  <c:v>19.181818181818183</c:v>
                </c:pt>
                <c:pt idx="19">
                  <c:v>20.181818181818183</c:v>
                </c:pt>
                <c:pt idx="20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19.727272727272727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19.454545454545453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  <c:pt idx="58">
                  <c:v>18.727272727272727</c:v>
                </c:pt>
                <c:pt idx="59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19.454545454545453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19.545454545454547</c:v>
                </c:pt>
                <c:pt idx="36" formatCode="0.00">
                  <c:v>19.636363636363637</c:v>
                </c:pt>
                <c:pt idx="39" formatCode="0.00">
                  <c:v>19.363636363636363</c:v>
                </c:pt>
                <c:pt idx="42" formatCode="0.00">
                  <c:v>19.727272727272727</c:v>
                </c:pt>
                <c:pt idx="45" formatCode="0.00">
                  <c:v>19.545454545454547</c:v>
                </c:pt>
                <c:pt idx="48" formatCode="0.00">
                  <c:v>19.454545454545453</c:v>
                </c:pt>
                <c:pt idx="51" formatCode="0.00">
                  <c:v>19.09090909090909</c:v>
                </c:pt>
                <c:pt idx="54" formatCode="0.00">
                  <c:v>19.454545454545453</c:v>
                </c:pt>
                <c:pt idx="55" formatCode="0.00">
                  <c:v>19.636363636363637</c:v>
                </c:pt>
                <c:pt idx="56" formatCode="0.00">
                  <c:v>19.363636363636363</c:v>
                </c:pt>
                <c:pt idx="57" formatCode="0.00">
                  <c:v>19.272727272727273</c:v>
                </c:pt>
                <c:pt idx="58" formatCode="0.00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  <c:pt idx="58" formatCode="0.00">
                  <c:v>21.09090909090909</c:v>
                </c:pt>
                <c:pt idx="59" formatCode="0.00">
                  <c:v>20.363636363636363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14" sqref="B14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123</v>
      </c>
    </row>
    <row r="2" spans="1:2" x14ac:dyDescent="0.3">
      <c r="A2" s="4" t="s">
        <v>49</v>
      </c>
      <c r="B2" s="5">
        <f ca="1">Rapid!N1</f>
        <v>19.450757575757574</v>
      </c>
    </row>
    <row r="3" spans="1:2" x14ac:dyDescent="0.3">
      <c r="A3" s="4" t="s">
        <v>51</v>
      </c>
      <c r="B3" s="5">
        <f ca="1">Liefering!N1</f>
        <v>19.490118577075094</v>
      </c>
    </row>
    <row r="4" spans="1:2" x14ac:dyDescent="0.3">
      <c r="A4" s="4" t="s">
        <v>40</v>
      </c>
      <c r="B4" s="5">
        <f ca="1">'Altach Juniors'!N1</f>
        <v>19.650000000000002</v>
      </c>
    </row>
    <row r="5" spans="1:2" x14ac:dyDescent="0.3">
      <c r="A5" s="2" t="s">
        <v>33</v>
      </c>
      <c r="B5" s="3">
        <f ca="1">JWR!N1</f>
        <v>19.705627705627709</v>
      </c>
    </row>
    <row r="6" spans="1:2" x14ac:dyDescent="0.3">
      <c r="A6" s="4" t="s">
        <v>4</v>
      </c>
      <c r="B6" s="5">
        <f ca="1">LASK!N1</f>
        <v>20.142857142857142</v>
      </c>
    </row>
    <row r="7" spans="1:2" x14ac:dyDescent="0.3">
      <c r="A7" s="4" t="s">
        <v>50</v>
      </c>
      <c r="B7" s="5">
        <f ca="1">Sturm!N1</f>
        <v>20.844696969696972</v>
      </c>
    </row>
    <row r="8" spans="1:2" x14ac:dyDescent="0.3">
      <c r="A8" s="4" t="s">
        <v>16</v>
      </c>
      <c r="B8" s="5">
        <f ca="1">WAC!N1</f>
        <v>20.98268398268398</v>
      </c>
    </row>
    <row r="9" spans="1:2" x14ac:dyDescent="0.3">
      <c r="A9" s="4" t="s">
        <v>41</v>
      </c>
      <c r="B9" s="5">
        <f ca="1">'Young Violets'!N1</f>
        <v>20.984848484848484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</row>
    <row r="2" spans="1:22" x14ac:dyDescent="0.3">
      <c r="A2" s="4" t="s">
        <v>33</v>
      </c>
      <c r="B2" s="8" cm="1">
        <f t="array" aca="1" ref="B2" ca="1">INDIRECT("JWR!N" &amp; (COLUMN()-1)*3)</f>
        <v>19.636363636363637</v>
      </c>
      <c r="C2" s="8" cm="1">
        <f t="array" aca="1" ref="C2" ca="1">INDIRECT("JWR!N" &amp; (COLUMN()-1)*3)</f>
        <v>18.636363636363637</v>
      </c>
      <c r="D2" s="8" cm="1">
        <f t="array" aca="1" ref="D2" ca="1">INDIRECT("JWR!N" &amp; (COLUMN()-1)*3)</f>
        <v>21.181818181818183</v>
      </c>
      <c r="E2" s="8" cm="1">
        <f t="array" aca="1" ref="E2" ca="1">INDIRECT("JWR!N" &amp; (COLUMN()-1)*3)</f>
        <v>19.90909090909091</v>
      </c>
      <c r="F2" s="8" cm="1">
        <f t="array" aca="1" ref="F2" ca="1">INDIRECT("JWR!N" &amp; (COLUMN()-1)*3)</f>
        <v>20.818181818181817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20.181818181818183</v>
      </c>
      <c r="T2" s="8" cm="1">
        <f t="array" aca="1" ref="T2" ca="1">INDIRECT("JWR!N" &amp; (COLUMN()-1)*3)</f>
        <v>19.363636363636363</v>
      </c>
      <c r="U2" s="8" cm="1">
        <f t="array" aca="1" ref="U2" ca="1">INDIRECT("JWR!N" &amp; (COLUMN()-1)*3)</f>
        <v>22</v>
      </c>
      <c r="V2" s="8" cm="1">
        <f t="array" aca="1" ref="V2" ca="1">INDIRECT("JWR!N" &amp; (COLUMN()-1)*3)</f>
        <v>21.363636363636363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20.454545454545453</v>
      </c>
      <c r="E3" s="8" cm="1">
        <f t="array" aca="1" ref="E3" ca="1">INDIRECT("LASK!N" &amp; (COLUMN()-1)*3)</f>
        <v>19.90909090909091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20.363636363636363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20.272727272727273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20.181818181818183</v>
      </c>
      <c r="P3" s="8" cm="1">
        <f t="array" aca="1" ref="P3" ca="1">INDIRECT("LASK!N" &amp; (COLUMN()-1)*3)</f>
        <v>20.363636363636363</v>
      </c>
      <c r="Q3" s="8" cm="1">
        <f t="array" aca="1" ref="Q3" ca="1">INDIRECT("LASK!N" &amp; (COLUMN()-1)*3)</f>
        <v>20.09090909090909</v>
      </c>
      <c r="R3" s="8" cm="1">
        <f t="array" aca="1" ref="R3" ca="1">INDIRECT("LASK!N" &amp; (COLUMN()-1)*3)</f>
        <v>19.545454545454547</v>
      </c>
      <c r="S3" s="8" cm="1">
        <f t="array" aca="1" ref="S3" ca="1">INDIRECT("LASK!N" &amp; (COLUMN()-1)*3)</f>
        <v>19.09090909090909</v>
      </c>
      <c r="T3" s="8" cm="1">
        <f t="array" aca="1" ref="T3" ca="1">INDIRECT("LASK!N" &amp; (COLUMN()-1)*3)</f>
        <v>19.181818181818183</v>
      </c>
      <c r="U3" s="8" cm="1">
        <f t="array" aca="1" ref="U3" ca="1">INDIRECT("LASK!N" &amp; (COLUMN()-1)*3)</f>
        <v>20.181818181818183</v>
      </c>
      <c r="V3" s="8" cm="1">
        <f t="array" aca="1" ref="V3" ca="1">INDIRECT("LASK!N" &amp; (COLUMN()-1)*3)</f>
        <v>20.09090909090909</v>
      </c>
    </row>
    <row r="4" spans="1:22" x14ac:dyDescent="0.3">
      <c r="A4" s="4" t="s">
        <v>124</v>
      </c>
      <c r="B4" s="5" cm="1">
        <f t="array" aca="1" ref="B4" ca="1">INDIRECT("'Altach Juniors'!N" &amp; (COLUMN()-1)*3)</f>
        <v>19</v>
      </c>
      <c r="C4" s="5" cm="1">
        <f t="array" aca="1" ref="C4" ca="1">INDIRECT("'Altach Juniors'!N" &amp; (COLUMN()-1)*3)</f>
        <v>19.636363636363637</v>
      </c>
      <c r="D4" s="5" cm="1">
        <f t="array" aca="1" ref="D4" ca="1">INDIRECT("'Altach Juniors'!N" &amp; (COLUMN()-1)*3)</f>
        <v>19.181818181818183</v>
      </c>
      <c r="E4" s="5" cm="1">
        <f t="array" aca="1" ref="E4" ca="1">INDIRECT("'Altach Juniors'!N" &amp; (COLUMN()-1)*3)</f>
        <v>19.545454545454547</v>
      </c>
      <c r="F4" s="5" cm="1">
        <f t="array" aca="1" ref="F4" ca="1">INDIRECT("'Altach Juniors'!N" &amp; (COLUMN()-1)*3)</f>
        <v>19.727272727272727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20.363636363636363</v>
      </c>
      <c r="I4" s="5" cm="1">
        <f t="array" aca="1" ref="I4" ca="1">INDIRECT("'Altach Juniors'!N" &amp; (COLUMN()-1)*3)</f>
        <v>19.454545454545453</v>
      </c>
      <c r="J4" s="5" cm="1">
        <f t="array" aca="1" ref="J4" ca="1">INDIRECT("'Altach Juniors'!N" &amp; (COLUMN()-1)*3)</f>
        <v>19.454545454545453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19.90909090909091</v>
      </c>
      <c r="N4" s="5" cm="1">
        <f t="array" aca="1" ref="N4" ca="1">INDIRECT("'Altach Juniors'!N" &amp; (COLUMN()-1)*3)</f>
        <v>19.545454545454547</v>
      </c>
      <c r="O4" s="5" cm="1">
        <f t="array" aca="1" ref="O4" ca="1">INDIRECT("'Altach Juniors'!N" &amp; (COLUMN()-1)*3)</f>
        <v>19</v>
      </c>
      <c r="P4" s="5" cm="1">
        <f t="array" aca="1" ref="P4" ca="1">INDIRECT("'Altach Juniors'!N" &amp; (COLUMN()-1)*3)</f>
        <v>20.272727272727273</v>
      </c>
      <c r="Q4" s="5" cm="1">
        <f t="array" aca="1" ref="Q4" ca="1">INDIRECT("'Altach Juniors'!N" &amp; (COLUMN()-1)*3)</f>
        <v>20.181818181818183</v>
      </c>
      <c r="R4" s="5" cm="1">
        <f t="array" aca="1" ref="R4" ca="1">INDIRECT("'Altach Juniors'!N" &amp; (COLUMN()-1)*3)</f>
        <v>19.727272727272727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19.727272727272727</v>
      </c>
      <c r="U4" s="5" cm="1">
        <f t="array" aca="1" ref="U4" ca="1">INDIRECT("'Altach Juniors'!N" &amp; (COLUMN()-1)*3)</f>
        <v>19.727272727272727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</row>
    <row r="6" spans="1:22" x14ac:dyDescent="0.3">
      <c r="A6" s="4" t="s">
        <v>16</v>
      </c>
      <c r="B6" s="5" cm="1">
        <f t="array" aca="1" ref="B6" ca="1">INDIRECT("WAC!N" &amp; (COLUMN()-1)*3)</f>
        <v>21.272727272727273</v>
      </c>
      <c r="C6" s="5" cm="1">
        <f t="array" aca="1" ref="C6" ca="1">INDIRECT("WAC!N" &amp; (COLUMN()-1)*3)</f>
        <v>21.545454545454547</v>
      </c>
      <c r="D6" s="5" cm="1">
        <f t="array" aca="1" ref="D6" ca="1">INDIRECT("WAC!N" &amp; (COLUMN()-1)*3)</f>
        <v>21.272727272727273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20.454545454545453</v>
      </c>
      <c r="I6" s="5" cm="1">
        <f t="array" aca="1" ref="I6" ca="1">INDIRECT("WAC!N" &amp; (COLUMN()-1)*3)</f>
        <v>20.727272727272727</v>
      </c>
      <c r="J6" s="5" cm="1">
        <f t="array" aca="1" ref="J6" ca="1">INDIRECT("WAC!N" &amp; (COLUMN()-1)*3)</f>
        <v>21</v>
      </c>
      <c r="K6" s="5" cm="1">
        <f t="array" aca="1" ref="K6" ca="1">INDIRECT("WAC!N" &amp; (COLUMN()-1)*3)</f>
        <v>20.636363636363637</v>
      </c>
      <c r="L6" s="5" cm="1">
        <f t="array" aca="1" ref="L6" ca="1">INDIRECT("WAC!N" &amp; (COLUMN()-1)*3)</f>
        <v>21</v>
      </c>
      <c r="M6" s="5" cm="1">
        <f t="array" aca="1" ref="M6" ca="1">INDIRECT("WAC!N" &amp; (COLUMN()-1)*3)</f>
        <v>20.636363636363637</v>
      </c>
      <c r="N6" s="5" cm="1">
        <f t="array" aca="1" ref="N6" ca="1">INDIRECT("WAC!N" &amp; (COLUMN()-1)*3)</f>
        <v>20.727272727272727</v>
      </c>
      <c r="O6" s="5" cm="1">
        <f t="array" aca="1" ref="O6" ca="1">INDIRECT("WAC!N" &amp; (COLUMN()-1)*3)</f>
        <v>20.90909090909091</v>
      </c>
      <c r="P6" s="5" cm="1">
        <f t="array" aca="1" ref="P6" ca="1">INDIRECT("WAC!N" &amp; (COLUMN()-1)*3)</f>
        <v>21.09090909090909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21.181818181818183</v>
      </c>
      <c r="V6" s="5" cm="1">
        <f t="array" aca="1" ref="V6" ca="1">INDIRECT("WAC!N" &amp; (COLUMN()-1)*3)</f>
        <v>21.09090909090909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18.818181818181817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19.454545454545453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19.545454545454547</v>
      </c>
      <c r="N8" s="5" cm="1">
        <f t="array" aca="1" ref="N8" ca="1">INDIRECT("Liefering!N" &amp; (COLUMN()-1)*3)</f>
        <v>19.636363636363637</v>
      </c>
      <c r="O8" s="5" cm="1">
        <f t="array" aca="1" ref="O8" ca="1">INDIRECT("Liefering!N" &amp; (COLUMN()-1)*3)</f>
        <v>19.363636363636363</v>
      </c>
      <c r="P8" s="5" cm="1">
        <f t="array" aca="1" ref="P8" ca="1">INDIRECT("Liefering!N" &amp; (COLUMN()-1)*3)</f>
        <v>19.727272727272727</v>
      </c>
      <c r="Q8" s="5" cm="1">
        <f t="array" aca="1" ref="Q8" ca="1">INDIRECT("Liefering!N" &amp; (COLUMN()-1)*3)</f>
        <v>19.545454545454547</v>
      </c>
      <c r="R8" s="5" cm="1">
        <f t="array" aca="1" ref="R8" ca="1">INDIRECT("Liefering!N" &amp; (COLUMN()-1)*3)</f>
        <v>19.454545454545453</v>
      </c>
      <c r="S8" s="5" cm="1">
        <f t="array" aca="1" ref="S8" ca="1">INDIRECT("Liefering!N" &amp; (COLUMN()-1)*3)</f>
        <v>19.09090909090909</v>
      </c>
      <c r="T8" s="5" cm="1">
        <f t="array" aca="1" ref="T8" ca="1">INDIRECT("Liefering!N" &amp; (COLUMN()-1)*3)</f>
        <v>19.454545454545453</v>
      </c>
      <c r="U8" s="5" cm="1">
        <f t="array" aca="1" ref="U8" ca="1">INDIRECT("Liefering!N" &amp; (COLUMN()-1)*3)</f>
        <v>19.636363636363637</v>
      </c>
      <c r="V8" s="5" cm="1">
        <f t="array" aca="1" ref="V8" ca="1">INDIRECT("Liefering!N" &amp; (COLUMN()-1)*3)</f>
        <v>19.363636363636363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20.545454545454547</v>
      </c>
      <c r="D9" s="5" cm="1">
        <f t="array" aca="1" ref="D9" ca="1">INDIRECT("Sturm!N" &amp; (COLUMN()-1)*3)</f>
        <v>20.363636363636363</v>
      </c>
      <c r="E9" s="5" cm="1">
        <f t="array" aca="1" ref="E9" ca="1">INDIRECT("Sturm!N" &amp; (COLUMN()-1)*3)</f>
        <v>20.545454545454547</v>
      </c>
      <c r="F9" s="5" cm="1">
        <f t="array" aca="1" ref="F9" ca="1">INDIRECT("Sturm!N" &amp; (COLUMN()-1)*3)</f>
        <v>20.181818181818183</v>
      </c>
      <c r="G9" s="5" cm="1">
        <f t="array" aca="1" ref="G9" ca="1">INDIRECT("Sturm!N" &amp; (COLUMN()-1)*3)</f>
        <v>20.363636363636363</v>
      </c>
      <c r="H9" s="5" cm="1">
        <f t="array" aca="1" ref="H9" ca="1">INDIRECT("Sturm!N" &amp; (COLUMN()-1)*3)</f>
        <v>21.272727272727273</v>
      </c>
      <c r="I9" s="5" cm="1">
        <f t="array" aca="1" ref="I9" ca="1">INDIRECT("Sturm!N" &amp; (COLUMN()-1)*3)</f>
        <v>20.90909090909091</v>
      </c>
      <c r="J9" s="5" cm="1">
        <f t="array" aca="1" ref="J9" ca="1">INDIRECT("Sturm!N" &amp; (COLUMN()-1)*3)</f>
        <v>21.636363636363637</v>
      </c>
      <c r="K9" s="5" cm="1">
        <f t="array" aca="1" ref="K9" ca="1">INDIRECT("Sturm!N" &amp; (COLUMN()-1)*3)</f>
        <v>21</v>
      </c>
      <c r="L9" s="5" cm="1">
        <f t="array" aca="1" ref="L9" ca="1">INDIRECT("Sturm!N" &amp; (COLUMN()-1)*3)</f>
        <v>21.09090909090909</v>
      </c>
      <c r="M9" s="5" cm="1">
        <f t="array" aca="1" ref="M9" ca="1">INDIRECT("Sturm!N" &amp; (COLUMN()-1)*3)</f>
        <v>21.09090909090909</v>
      </c>
      <c r="N9" s="5" cm="1">
        <f t="array" aca="1" ref="N9" ca="1">INDIRECT("Sturm!N" &amp; (COLUMN()-1)*3)</f>
        <v>21.181818181818183</v>
      </c>
      <c r="O9" s="5" cm="1">
        <f t="array" aca="1" ref="O9" ca="1">INDIRECT("Sturm!N" &amp; (COLUMN()-1)*3)</f>
        <v>21.818181818181817</v>
      </c>
      <c r="P9" s="5" cm="1">
        <f t="array" aca="1" ref="P9" ca="1">INDIRECT("Sturm!N" &amp; (COLUMN()-1)*3)</f>
        <v>20.636363636363637</v>
      </c>
      <c r="Q9" s="5" cm="1">
        <f t="array" aca="1" ref="Q9" ca="1">INDIRECT("Sturm!N" &amp; (COLUMN()-1)*3)</f>
        <v>21</v>
      </c>
      <c r="R9" s="5" cm="1">
        <f t="array" aca="1" ref="R9" ca="1">INDIRECT("Sturm!N" &amp; (COLUMN()-1)*3)</f>
        <v>20.636363636363637</v>
      </c>
      <c r="S9" s="5" cm="1">
        <f t="array" aca="1" ref="S9" ca="1">INDIRECT("Sturm!N" &amp; (COLUMN()-1)*3)</f>
        <v>20.727272727272727</v>
      </c>
      <c r="T9" s="5" cm="1">
        <f t="array" aca="1" ref="T9" ca="1">INDIRECT("Sturm!N" &amp; (COLUMN()-1)*3)</f>
        <v>20.90909090909091</v>
      </c>
      <c r="U9" s="5" cm="1">
        <f t="array" aca="1" ref="U9" ca="1">INDIRECT("Sturm!N" &amp; (COLUMN()-1)*3)</f>
        <v>20.818181818181817</v>
      </c>
      <c r="V9" s="5" cm="1">
        <f t="array" aca="1" ref="V9" ca="1">INDIRECT("Sturm!N" &amp; (COLUMN()-1)*3)</f>
        <v>20.90909090909091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8" zoomScale="90" zoomScaleNormal="90" workbookViewId="0">
      <selection activeCell="K63" sqref="K63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19.705627705627709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311</v>
      </c>
      <c r="I2" t="s">
        <v>82</v>
      </c>
      <c r="J2" t="s">
        <v>77</v>
      </c>
      <c r="K2" t="s">
        <v>83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19.636363636363637</v>
      </c>
    </row>
    <row r="5" spans="1:14" x14ac:dyDescent="0.3">
      <c r="A5" t="s">
        <v>84</v>
      </c>
      <c r="B5" t="s">
        <v>105</v>
      </c>
      <c r="C5" t="s">
        <v>75</v>
      </c>
      <c r="D5" t="s">
        <v>1</v>
      </c>
      <c r="E5" t="s">
        <v>80</v>
      </c>
      <c r="F5" t="s">
        <v>0</v>
      </c>
      <c r="G5" t="s">
        <v>106</v>
      </c>
      <c r="H5" t="s">
        <v>107</v>
      </c>
      <c r="I5" t="s">
        <v>82</v>
      </c>
      <c r="J5" t="s">
        <v>77</v>
      </c>
      <c r="K5" t="s">
        <v>108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18.636363636363637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159</v>
      </c>
      <c r="H8" t="s">
        <v>311</v>
      </c>
      <c r="I8" t="s">
        <v>107</v>
      </c>
      <c r="J8" t="s">
        <v>77</v>
      </c>
      <c r="K8" t="s">
        <v>160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21.181818181818183</v>
      </c>
    </row>
    <row r="10" spans="1:14" x14ac:dyDescent="0.3">
      <c r="N10" s="1"/>
    </row>
    <row r="11" spans="1:14" x14ac:dyDescent="0.3">
      <c r="A11" t="s">
        <v>164</v>
      </c>
      <c r="B11" t="s">
        <v>105</v>
      </c>
      <c r="C11" t="s">
        <v>75</v>
      </c>
      <c r="D11" t="s">
        <v>1</v>
      </c>
      <c r="E11" t="s">
        <v>80</v>
      </c>
      <c r="F11" t="s">
        <v>0</v>
      </c>
      <c r="G11" t="s">
        <v>165</v>
      </c>
      <c r="H11" t="s">
        <v>82</v>
      </c>
      <c r="I11" t="s">
        <v>81</v>
      </c>
      <c r="J11" t="s">
        <v>77</v>
      </c>
      <c r="K11" t="s">
        <v>160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19.90909090909091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311</v>
      </c>
      <c r="I14" t="s">
        <v>82</v>
      </c>
      <c r="J14" t="s">
        <v>77</v>
      </c>
      <c r="K14" t="s">
        <v>160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20.818181818181817</v>
      </c>
    </row>
    <row r="17" spans="1:20" x14ac:dyDescent="0.3">
      <c r="A17" t="s">
        <v>112</v>
      </c>
      <c r="B17" t="s">
        <v>189</v>
      </c>
      <c r="C17" t="s">
        <v>75</v>
      </c>
      <c r="D17" t="s">
        <v>1</v>
      </c>
      <c r="E17" t="s">
        <v>190</v>
      </c>
      <c r="F17" t="s">
        <v>0</v>
      </c>
      <c r="G17" t="s">
        <v>81</v>
      </c>
      <c r="H17" t="s">
        <v>311</v>
      </c>
      <c r="I17" t="s">
        <v>159</v>
      </c>
      <c r="J17" t="s">
        <v>77</v>
      </c>
      <c r="K17" t="s">
        <v>83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194</v>
      </c>
      <c r="B20" t="s">
        <v>105</v>
      </c>
      <c r="C20" t="s">
        <v>75</v>
      </c>
      <c r="D20" t="s">
        <v>81</v>
      </c>
      <c r="E20" t="s">
        <v>80</v>
      </c>
      <c r="F20" t="s">
        <v>106</v>
      </c>
      <c r="G20" t="s">
        <v>0</v>
      </c>
      <c r="H20" t="s">
        <v>77</v>
      </c>
      <c r="I20" t="s">
        <v>195</v>
      </c>
      <c r="J20" t="s">
        <v>107</v>
      </c>
      <c r="K20" t="s">
        <v>83</v>
      </c>
      <c r="L20" t="s">
        <v>190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102</v>
      </c>
      <c r="B23" t="s">
        <v>3</v>
      </c>
      <c r="C23" t="s">
        <v>75</v>
      </c>
      <c r="D23" t="s">
        <v>81</v>
      </c>
      <c r="E23" t="s">
        <v>1</v>
      </c>
      <c r="F23" t="s">
        <v>106</v>
      </c>
      <c r="G23" t="s">
        <v>0</v>
      </c>
      <c r="H23" t="s">
        <v>2</v>
      </c>
      <c r="I23" t="s">
        <v>195</v>
      </c>
      <c r="J23" t="s">
        <v>82</v>
      </c>
      <c r="K23" t="s">
        <v>83</v>
      </c>
      <c r="L23" t="s">
        <v>218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82</v>
      </c>
      <c r="Q25" s="6">
        <v>39266</v>
      </c>
    </row>
    <row r="26" spans="1:20" x14ac:dyDescent="0.3">
      <c r="A26" t="s">
        <v>149</v>
      </c>
      <c r="B26" t="s">
        <v>105</v>
      </c>
      <c r="C26" t="s">
        <v>75</v>
      </c>
      <c r="D26" t="s">
        <v>81</v>
      </c>
      <c r="E26" t="s">
        <v>1</v>
      </c>
      <c r="F26" t="s">
        <v>106</v>
      </c>
      <c r="G26" t="s">
        <v>0</v>
      </c>
      <c r="H26" t="s">
        <v>2</v>
      </c>
      <c r="I26" t="s">
        <v>195</v>
      </c>
      <c r="J26" t="s">
        <v>82</v>
      </c>
      <c r="K26" t="s">
        <v>83</v>
      </c>
      <c r="L26" t="s">
        <v>218</v>
      </c>
      <c r="P26" t="s">
        <v>311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83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166</v>
      </c>
      <c r="B29" t="s">
        <v>3</v>
      </c>
      <c r="C29" t="s">
        <v>75</v>
      </c>
      <c r="D29" t="s">
        <v>81</v>
      </c>
      <c r="E29" t="s">
        <v>1</v>
      </c>
      <c r="F29" t="s">
        <v>106</v>
      </c>
      <c r="G29" t="s">
        <v>0</v>
      </c>
      <c r="H29" t="s">
        <v>2</v>
      </c>
      <c r="I29" t="s">
        <v>195</v>
      </c>
      <c r="J29" t="s">
        <v>159</v>
      </c>
      <c r="K29" t="s">
        <v>311</v>
      </c>
      <c r="L29" t="s">
        <v>218</v>
      </c>
      <c r="P29" t="s">
        <v>105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106</v>
      </c>
      <c r="Q30" s="6">
        <v>39653</v>
      </c>
    </row>
    <row r="31" spans="1:20" x14ac:dyDescent="0.3">
      <c r="P31" t="s">
        <v>108</v>
      </c>
      <c r="Q31" s="6">
        <v>39418</v>
      </c>
    </row>
    <row r="32" spans="1:20" x14ac:dyDescent="0.3">
      <c r="A32" t="s">
        <v>174</v>
      </c>
      <c r="B32" t="s">
        <v>3</v>
      </c>
      <c r="C32" t="s">
        <v>75</v>
      </c>
      <c r="D32" t="s">
        <v>81</v>
      </c>
      <c r="E32" t="s">
        <v>190</v>
      </c>
      <c r="F32" t="s">
        <v>106</v>
      </c>
      <c r="G32" t="s">
        <v>0</v>
      </c>
      <c r="H32" t="s">
        <v>2</v>
      </c>
      <c r="I32" t="s">
        <v>195</v>
      </c>
      <c r="J32" t="s">
        <v>77</v>
      </c>
      <c r="K32" t="s">
        <v>311</v>
      </c>
      <c r="L32" t="s">
        <v>218</v>
      </c>
      <c r="P32" t="s">
        <v>107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159</v>
      </c>
      <c r="Q33" s="6">
        <v>38665</v>
      </c>
    </row>
    <row r="34" spans="1:17" x14ac:dyDescent="0.3">
      <c r="P34" t="s">
        <v>160</v>
      </c>
      <c r="Q34" s="6">
        <v>33804</v>
      </c>
    </row>
    <row r="35" spans="1:17" x14ac:dyDescent="0.3">
      <c r="A35" t="s">
        <v>191</v>
      </c>
      <c r="B35" t="s">
        <v>3</v>
      </c>
      <c r="C35" t="s">
        <v>75</v>
      </c>
      <c r="D35" t="s">
        <v>81</v>
      </c>
      <c r="E35" t="s">
        <v>190</v>
      </c>
      <c r="F35" t="s">
        <v>106</v>
      </c>
      <c r="G35" t="s">
        <v>0</v>
      </c>
      <c r="H35" t="s">
        <v>2</v>
      </c>
      <c r="I35" t="s">
        <v>195</v>
      </c>
      <c r="J35" t="s">
        <v>159</v>
      </c>
      <c r="K35" t="s">
        <v>311</v>
      </c>
      <c r="L35" t="s">
        <v>218</v>
      </c>
      <c r="P35" t="s">
        <v>165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190</v>
      </c>
      <c r="Q36" s="6">
        <v>39361</v>
      </c>
    </row>
    <row r="37" spans="1:17" x14ac:dyDescent="0.3">
      <c r="P37" t="s">
        <v>189</v>
      </c>
      <c r="Q37" s="6">
        <v>38982</v>
      </c>
    </row>
    <row r="38" spans="1:17" x14ac:dyDescent="0.3">
      <c r="A38" t="s">
        <v>198</v>
      </c>
      <c r="B38" t="s">
        <v>50</v>
      </c>
      <c r="C38" t="s">
        <v>75</v>
      </c>
      <c r="D38" t="s">
        <v>81</v>
      </c>
      <c r="E38" t="s">
        <v>107</v>
      </c>
      <c r="F38" t="s">
        <v>245</v>
      </c>
      <c r="G38" t="s">
        <v>0</v>
      </c>
      <c r="H38" t="s">
        <v>2</v>
      </c>
      <c r="I38" t="s">
        <v>195</v>
      </c>
      <c r="J38" t="s">
        <v>82</v>
      </c>
      <c r="K38" t="s">
        <v>83</v>
      </c>
      <c r="L38" t="s">
        <v>218</v>
      </c>
      <c r="P38" t="s">
        <v>195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218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228</v>
      </c>
      <c r="B41" t="s">
        <v>3</v>
      </c>
      <c r="C41" t="s">
        <v>75</v>
      </c>
      <c r="D41" t="s">
        <v>81</v>
      </c>
      <c r="E41" t="s">
        <v>107</v>
      </c>
      <c r="F41" t="s">
        <v>106</v>
      </c>
      <c r="G41" t="s">
        <v>0</v>
      </c>
      <c r="H41" t="s">
        <v>2</v>
      </c>
      <c r="I41" t="s">
        <v>195</v>
      </c>
      <c r="J41" t="s">
        <v>82</v>
      </c>
      <c r="K41" t="s">
        <v>165</v>
      </c>
      <c r="L41" t="s">
        <v>218</v>
      </c>
      <c r="P41" t="s">
        <v>245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260</v>
      </c>
      <c r="Q42" s="6">
        <v>39739</v>
      </c>
    </row>
    <row r="43" spans="1:17" x14ac:dyDescent="0.3">
      <c r="P43" t="s">
        <v>259</v>
      </c>
      <c r="Q43" s="6">
        <v>39667</v>
      </c>
    </row>
    <row r="44" spans="1:17" x14ac:dyDescent="0.3">
      <c r="A44" t="s">
        <v>229</v>
      </c>
      <c r="B44" t="s">
        <v>105</v>
      </c>
      <c r="C44" t="s">
        <v>75</v>
      </c>
      <c r="D44" t="s">
        <v>81</v>
      </c>
      <c r="E44" t="s">
        <v>107</v>
      </c>
      <c r="F44" t="s">
        <v>106</v>
      </c>
      <c r="G44" t="s">
        <v>0</v>
      </c>
      <c r="H44" t="s">
        <v>2</v>
      </c>
      <c r="I44" t="s">
        <v>77</v>
      </c>
      <c r="J44" t="s">
        <v>82</v>
      </c>
      <c r="K44" t="s">
        <v>165</v>
      </c>
      <c r="L44" t="s">
        <v>218</v>
      </c>
      <c r="P44" t="s">
        <v>277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278</v>
      </c>
      <c r="Q45" s="6">
        <v>37129</v>
      </c>
    </row>
    <row r="46" spans="1:17" x14ac:dyDescent="0.3">
      <c r="P46" t="s">
        <v>279</v>
      </c>
      <c r="Q46" s="6">
        <v>37139</v>
      </c>
    </row>
    <row r="47" spans="1:17" x14ac:dyDescent="0.3">
      <c r="A47" t="s">
        <v>4</v>
      </c>
      <c r="B47" t="s">
        <v>278</v>
      </c>
      <c r="C47" t="s">
        <v>75</v>
      </c>
      <c r="D47" t="s">
        <v>81</v>
      </c>
      <c r="E47" t="s">
        <v>107</v>
      </c>
      <c r="F47" t="s">
        <v>1</v>
      </c>
      <c r="G47" t="s">
        <v>0</v>
      </c>
      <c r="H47" t="s">
        <v>190</v>
      </c>
      <c r="I47" t="s">
        <v>260</v>
      </c>
      <c r="J47" t="s">
        <v>82</v>
      </c>
      <c r="K47" t="s">
        <v>165</v>
      </c>
      <c r="L47" t="s">
        <v>279</v>
      </c>
      <c r="P47" t="s">
        <v>280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281</v>
      </c>
      <c r="Q48" s="6">
        <v>39468</v>
      </c>
    </row>
    <row r="49" spans="1:17" x14ac:dyDescent="0.3">
      <c r="P49" t="s">
        <v>282</v>
      </c>
      <c r="Q49" s="6">
        <v>38486</v>
      </c>
    </row>
    <row r="50" spans="1:17" x14ac:dyDescent="0.3">
      <c r="A50" t="s">
        <v>84</v>
      </c>
      <c r="B50" t="s">
        <v>293</v>
      </c>
      <c r="C50" t="s">
        <v>283</v>
      </c>
      <c r="D50" t="s">
        <v>218</v>
      </c>
      <c r="E50" t="s">
        <v>107</v>
      </c>
      <c r="F50" t="s">
        <v>1</v>
      </c>
      <c r="G50" t="s">
        <v>0</v>
      </c>
      <c r="H50" t="s">
        <v>2</v>
      </c>
      <c r="I50" t="s">
        <v>260</v>
      </c>
      <c r="J50" t="s">
        <v>82</v>
      </c>
      <c r="K50" t="s">
        <v>165</v>
      </c>
      <c r="L50" t="s">
        <v>279</v>
      </c>
      <c r="P50" t="s">
        <v>283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293</v>
      </c>
      <c r="Q51" s="6">
        <v>38384</v>
      </c>
    </row>
    <row r="52" spans="1:17" x14ac:dyDescent="0.3">
      <c r="P52" t="s">
        <v>301</v>
      </c>
      <c r="Q52" s="6">
        <v>38569</v>
      </c>
    </row>
    <row r="53" spans="1:17" x14ac:dyDescent="0.3">
      <c r="A53" t="s">
        <v>16</v>
      </c>
      <c r="B53" t="s">
        <v>293</v>
      </c>
      <c r="C53" t="s">
        <v>283</v>
      </c>
      <c r="D53" t="s">
        <v>81</v>
      </c>
      <c r="E53" t="s">
        <v>282</v>
      </c>
      <c r="F53" t="s">
        <v>1</v>
      </c>
      <c r="G53" t="s">
        <v>0</v>
      </c>
      <c r="H53" t="s">
        <v>2</v>
      </c>
      <c r="I53" t="s">
        <v>277</v>
      </c>
      <c r="J53" t="s">
        <v>82</v>
      </c>
      <c r="K53" t="s">
        <v>75</v>
      </c>
      <c r="L53" t="s">
        <v>279</v>
      </c>
      <c r="P53" t="s">
        <v>312</v>
      </c>
      <c r="Q53" s="6">
        <v>34902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20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20.181818181818183</v>
      </c>
    </row>
    <row r="56" spans="1:17" x14ac:dyDescent="0.3">
      <c r="A56" t="s">
        <v>164</v>
      </c>
      <c r="B56" t="s">
        <v>189</v>
      </c>
      <c r="C56" t="s">
        <v>283</v>
      </c>
      <c r="D56" t="s">
        <v>81</v>
      </c>
      <c r="E56" t="s">
        <v>190</v>
      </c>
      <c r="F56" t="s">
        <v>1</v>
      </c>
      <c r="G56" t="s">
        <v>0</v>
      </c>
      <c r="H56" t="s">
        <v>2</v>
      </c>
      <c r="I56" t="s">
        <v>165</v>
      </c>
      <c r="J56" t="s">
        <v>82</v>
      </c>
      <c r="K56" t="s">
        <v>75</v>
      </c>
      <c r="L56" t="s">
        <v>279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20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19.363636363636363</v>
      </c>
    </row>
    <row r="59" spans="1:17" x14ac:dyDescent="0.3">
      <c r="A59" t="s">
        <v>15</v>
      </c>
      <c r="B59" t="s">
        <v>293</v>
      </c>
      <c r="C59" t="s">
        <v>283</v>
      </c>
      <c r="D59" t="s">
        <v>81</v>
      </c>
      <c r="E59" t="s">
        <v>312</v>
      </c>
      <c r="F59" t="s">
        <v>1</v>
      </c>
      <c r="G59" t="s">
        <v>0</v>
      </c>
      <c r="H59" t="s">
        <v>2</v>
      </c>
      <c r="I59" t="s">
        <v>311</v>
      </c>
      <c r="J59" t="s">
        <v>82</v>
      </c>
      <c r="K59" t="s">
        <v>160</v>
      </c>
      <c r="L59" t="s">
        <v>279</v>
      </c>
    </row>
    <row r="60" spans="1:17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21</v>
      </c>
      <c r="D60">
        <f t="shared" ca="1" si="19"/>
        <v>19</v>
      </c>
      <c r="E60">
        <f t="shared" ca="1" si="19"/>
        <v>30</v>
      </c>
      <c r="F60">
        <f t="shared" ca="1" si="19"/>
        <v>20</v>
      </c>
      <c r="G60">
        <f t="shared" ca="1" si="19"/>
        <v>18</v>
      </c>
      <c r="H60">
        <f t="shared" ca="1" si="19"/>
        <v>20</v>
      </c>
      <c r="I60">
        <f t="shared" ca="1" si="19"/>
        <v>18</v>
      </c>
      <c r="J60">
        <f t="shared" ca="1" si="19"/>
        <v>18</v>
      </c>
      <c r="K60">
        <f t="shared" ca="1" si="19"/>
        <v>33</v>
      </c>
      <c r="L60">
        <f t="shared" ca="1" si="19"/>
        <v>24</v>
      </c>
      <c r="N60" s="1">
        <f ca="1">AVERAGE(B60:M60)</f>
        <v>22</v>
      </c>
    </row>
    <row r="62" spans="1:17" x14ac:dyDescent="0.3">
      <c r="A62" t="s">
        <v>112</v>
      </c>
      <c r="B62" t="s">
        <v>278</v>
      </c>
      <c r="C62" t="s">
        <v>283</v>
      </c>
      <c r="D62" t="s">
        <v>81</v>
      </c>
      <c r="E62" t="s">
        <v>312</v>
      </c>
      <c r="F62" t="s">
        <v>277</v>
      </c>
      <c r="G62" t="s">
        <v>0</v>
      </c>
      <c r="H62" t="s">
        <v>2</v>
      </c>
      <c r="I62" t="s">
        <v>311</v>
      </c>
      <c r="J62" t="s">
        <v>82</v>
      </c>
      <c r="K62" t="s">
        <v>282</v>
      </c>
      <c r="L62" t="s">
        <v>279</v>
      </c>
    </row>
    <row r="63" spans="1:17" x14ac:dyDescent="0.3">
      <c r="B63">
        <f ca="1">DATEDIF(VLOOKUP(B62,$P$18:$Q$100,2,FALSE),TODAY(),"Y")</f>
        <v>24</v>
      </c>
      <c r="C63">
        <f t="shared" ref="C63:L63" ca="1" si="20">DATEDIF(VLOOKUP(C62,$P$18:$Q$100,2,FALSE),TODAY(),"Y")</f>
        <v>21</v>
      </c>
      <c r="D63">
        <f t="shared" ca="1" si="20"/>
        <v>19</v>
      </c>
      <c r="E63">
        <f t="shared" ca="1" si="20"/>
        <v>30</v>
      </c>
      <c r="F63">
        <f t="shared" ca="1" si="20"/>
        <v>23</v>
      </c>
      <c r="G63">
        <f t="shared" ca="1" si="20"/>
        <v>18</v>
      </c>
      <c r="H63">
        <f t="shared" ca="1" si="20"/>
        <v>20</v>
      </c>
      <c r="I63">
        <f t="shared" ca="1" si="20"/>
        <v>18</v>
      </c>
      <c r="J63">
        <f t="shared" ca="1" si="20"/>
        <v>18</v>
      </c>
      <c r="K63">
        <f t="shared" ca="1" si="20"/>
        <v>20</v>
      </c>
      <c r="L63">
        <f t="shared" ca="1" si="20"/>
        <v>24</v>
      </c>
      <c r="N63" s="1">
        <f ca="1">AVERAGE(B63:M63)</f>
        <v>21.363636363636363</v>
      </c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63"/>
  <sheetViews>
    <sheetView topLeftCell="A41" zoomScaleNormal="100" workbookViewId="0">
      <selection activeCell="M62" sqref="M62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20.142857142857142</v>
      </c>
    </row>
    <row r="2" spans="1:14" x14ac:dyDescent="0.3">
      <c r="A2" t="s">
        <v>5</v>
      </c>
      <c r="B2" t="s">
        <v>85</v>
      </c>
      <c r="C2" t="s">
        <v>6</v>
      </c>
      <c r="D2" t="s">
        <v>34</v>
      </c>
      <c r="E2" t="s">
        <v>36</v>
      </c>
      <c r="F2" t="s">
        <v>7</v>
      </c>
      <c r="G2" t="s">
        <v>86</v>
      </c>
      <c r="H2" t="s">
        <v>8</v>
      </c>
      <c r="I2" t="s">
        <v>37</v>
      </c>
      <c r="J2" t="s">
        <v>35</v>
      </c>
      <c r="K2" t="s">
        <v>87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102</v>
      </c>
      <c r="B5" t="s">
        <v>85</v>
      </c>
      <c r="C5" t="s">
        <v>6</v>
      </c>
      <c r="D5" t="s">
        <v>34</v>
      </c>
      <c r="E5" t="s">
        <v>36</v>
      </c>
      <c r="F5" t="s">
        <v>103</v>
      </c>
      <c r="G5" t="s">
        <v>86</v>
      </c>
      <c r="H5" t="s">
        <v>8</v>
      </c>
      <c r="I5" t="s">
        <v>37</v>
      </c>
      <c r="J5" t="s">
        <v>35</v>
      </c>
      <c r="K5" t="s">
        <v>87</v>
      </c>
      <c r="L5" t="s">
        <v>104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149</v>
      </c>
      <c r="B8" t="s">
        <v>85</v>
      </c>
      <c r="C8" t="s">
        <v>6</v>
      </c>
      <c r="D8" t="s">
        <v>34</v>
      </c>
      <c r="E8" t="s">
        <v>36</v>
      </c>
      <c r="F8" t="s">
        <v>150</v>
      </c>
      <c r="G8" t="s">
        <v>86</v>
      </c>
      <c r="H8" t="s">
        <v>8</v>
      </c>
      <c r="I8" t="s">
        <v>151</v>
      </c>
      <c r="J8" t="s">
        <v>152</v>
      </c>
      <c r="K8" t="s">
        <v>87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21</v>
      </c>
      <c r="K9">
        <f t="shared" ca="1" si="2"/>
        <v>19</v>
      </c>
      <c r="L9">
        <f t="shared" ca="1" si="2"/>
        <v>20</v>
      </c>
      <c r="N9" s="1">
        <f ca="1">AVERAGE(B9:M9)</f>
        <v>20.454545454545453</v>
      </c>
    </row>
    <row r="11" spans="1:14" x14ac:dyDescent="0.3">
      <c r="A11" t="s">
        <v>166</v>
      </c>
      <c r="B11" t="s">
        <v>85</v>
      </c>
      <c r="C11" t="s">
        <v>6</v>
      </c>
      <c r="D11" t="s">
        <v>34</v>
      </c>
      <c r="E11" t="s">
        <v>167</v>
      </c>
      <c r="F11" t="s">
        <v>35</v>
      </c>
      <c r="G11" t="s">
        <v>168</v>
      </c>
      <c r="H11" t="s">
        <v>8</v>
      </c>
      <c r="I11" t="s">
        <v>103</v>
      </c>
      <c r="J11" t="s">
        <v>152</v>
      </c>
      <c r="K11" t="s">
        <v>87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21</v>
      </c>
      <c r="K12">
        <f t="shared" ca="1" si="3"/>
        <v>19</v>
      </c>
      <c r="L12">
        <f t="shared" ca="1" si="3"/>
        <v>20</v>
      </c>
      <c r="N12" s="1">
        <f ca="1">AVERAGE(B12:M12)</f>
        <v>19.90909090909091</v>
      </c>
    </row>
    <row r="14" spans="1:14" x14ac:dyDescent="0.3">
      <c r="A14" t="s">
        <v>174</v>
      </c>
      <c r="B14" t="s">
        <v>85</v>
      </c>
      <c r="C14" t="s">
        <v>6</v>
      </c>
      <c r="D14" t="s">
        <v>34</v>
      </c>
      <c r="E14" t="s">
        <v>36</v>
      </c>
      <c r="F14" t="s">
        <v>35</v>
      </c>
      <c r="G14" t="s">
        <v>150</v>
      </c>
      <c r="H14" t="s">
        <v>8</v>
      </c>
      <c r="I14" t="s">
        <v>103</v>
      </c>
      <c r="J14" t="s">
        <v>151</v>
      </c>
      <c r="K14" t="s">
        <v>87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191</v>
      </c>
      <c r="B17" t="s">
        <v>85</v>
      </c>
      <c r="C17" t="s">
        <v>6</v>
      </c>
      <c r="D17" t="s">
        <v>34</v>
      </c>
      <c r="E17" t="s">
        <v>36</v>
      </c>
      <c r="F17" t="s">
        <v>86</v>
      </c>
      <c r="G17" t="s">
        <v>150</v>
      </c>
      <c r="H17" t="s">
        <v>8</v>
      </c>
      <c r="I17" t="s">
        <v>37</v>
      </c>
      <c r="J17" t="s">
        <v>151</v>
      </c>
      <c r="K17" t="s">
        <v>87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85</v>
      </c>
      <c r="Q19" s="6">
        <v>38475</v>
      </c>
      <c r="T19">
        <v>22</v>
      </c>
    </row>
    <row r="20" spans="1:20" x14ac:dyDescent="0.3">
      <c r="A20" t="s">
        <v>198</v>
      </c>
      <c r="B20" t="s">
        <v>85</v>
      </c>
      <c r="C20" t="s">
        <v>6</v>
      </c>
      <c r="D20" t="s">
        <v>34</v>
      </c>
      <c r="E20" t="s">
        <v>36</v>
      </c>
      <c r="F20" t="s">
        <v>86</v>
      </c>
      <c r="G20" t="s">
        <v>103</v>
      </c>
      <c r="H20" t="s">
        <v>8</v>
      </c>
      <c r="I20" t="s">
        <v>37</v>
      </c>
      <c r="J20" t="s">
        <v>151</v>
      </c>
      <c r="K20" t="s">
        <v>87</v>
      </c>
      <c r="L20" t="s">
        <v>199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19</v>
      </c>
      <c r="N21" s="1">
        <f ca="1">AVERAGE(B21:M21)</f>
        <v>20.363636363636363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228</v>
      </c>
      <c r="B23" t="s">
        <v>85</v>
      </c>
      <c r="C23" t="s">
        <v>6</v>
      </c>
      <c r="D23" t="s">
        <v>34</v>
      </c>
      <c r="E23" t="s">
        <v>36</v>
      </c>
      <c r="F23" t="s">
        <v>86</v>
      </c>
      <c r="G23" t="s">
        <v>150</v>
      </c>
      <c r="H23" t="s">
        <v>8</v>
      </c>
      <c r="I23" t="s">
        <v>35</v>
      </c>
      <c r="J23" t="s">
        <v>151</v>
      </c>
      <c r="K23" t="s">
        <v>87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86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229</v>
      </c>
      <c r="B26" t="s">
        <v>85</v>
      </c>
      <c r="C26" t="s">
        <v>6</v>
      </c>
      <c r="D26" t="s">
        <v>34</v>
      </c>
      <c r="E26" t="s">
        <v>36</v>
      </c>
      <c r="F26" t="s">
        <v>86</v>
      </c>
      <c r="G26" t="s">
        <v>150</v>
      </c>
      <c r="H26" t="s">
        <v>8</v>
      </c>
      <c r="I26" t="s">
        <v>35</v>
      </c>
      <c r="J26" t="s">
        <v>103</v>
      </c>
      <c r="K26" t="s">
        <v>87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87</v>
      </c>
      <c r="Q28" s="6">
        <v>38916</v>
      </c>
    </row>
    <row r="29" spans="1:20" x14ac:dyDescent="0.3">
      <c r="A29" t="s">
        <v>194</v>
      </c>
      <c r="B29" t="s">
        <v>85</v>
      </c>
      <c r="C29" t="s">
        <v>6</v>
      </c>
      <c r="D29" t="s">
        <v>34</v>
      </c>
      <c r="E29" t="s">
        <v>36</v>
      </c>
      <c r="F29" t="s">
        <v>86</v>
      </c>
      <c r="G29" t="s">
        <v>150</v>
      </c>
      <c r="H29" t="s">
        <v>8</v>
      </c>
      <c r="I29" t="s">
        <v>35</v>
      </c>
      <c r="J29" t="s">
        <v>103</v>
      </c>
      <c r="K29" t="s">
        <v>87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104</v>
      </c>
      <c r="Q30" s="6">
        <v>38335</v>
      </c>
    </row>
    <row r="31" spans="1:20" x14ac:dyDescent="0.3">
      <c r="P31" t="s">
        <v>103</v>
      </c>
      <c r="Q31" s="6">
        <v>37927</v>
      </c>
    </row>
    <row r="32" spans="1:20" x14ac:dyDescent="0.3">
      <c r="A32" t="s">
        <v>84</v>
      </c>
      <c r="B32" t="s">
        <v>85</v>
      </c>
      <c r="C32" t="s">
        <v>6</v>
      </c>
      <c r="D32" t="s">
        <v>34</v>
      </c>
      <c r="E32" t="s">
        <v>36</v>
      </c>
      <c r="F32" t="s">
        <v>86</v>
      </c>
      <c r="G32" t="s">
        <v>150</v>
      </c>
      <c r="H32" t="s">
        <v>8</v>
      </c>
      <c r="I32" t="s">
        <v>35</v>
      </c>
      <c r="J32" t="s">
        <v>151</v>
      </c>
      <c r="K32" t="s">
        <v>87</v>
      </c>
      <c r="L32" t="s">
        <v>18</v>
      </c>
      <c r="P32" t="s">
        <v>150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151</v>
      </c>
      <c r="Q33" s="6">
        <v>38513</v>
      </c>
    </row>
    <row r="34" spans="1:17" x14ac:dyDescent="0.3">
      <c r="P34" t="s">
        <v>152</v>
      </c>
      <c r="Q34" s="6">
        <v>38448</v>
      </c>
    </row>
    <row r="35" spans="1:17" x14ac:dyDescent="0.3">
      <c r="A35" t="s">
        <v>16</v>
      </c>
      <c r="B35" t="s">
        <v>85</v>
      </c>
      <c r="C35" t="s">
        <v>6</v>
      </c>
      <c r="D35" t="s">
        <v>199</v>
      </c>
      <c r="E35" t="s">
        <v>36</v>
      </c>
      <c r="F35" t="s">
        <v>86</v>
      </c>
      <c r="G35" t="s">
        <v>150</v>
      </c>
      <c r="H35" t="s">
        <v>8</v>
      </c>
      <c r="I35" t="s">
        <v>35</v>
      </c>
      <c r="J35" t="s">
        <v>244</v>
      </c>
      <c r="K35" t="s">
        <v>87</v>
      </c>
      <c r="L35" t="s">
        <v>37</v>
      </c>
      <c r="P35" t="s">
        <v>167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19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20.272727272727273</v>
      </c>
      <c r="P36" t="s">
        <v>168</v>
      </c>
      <c r="Q36" s="6">
        <v>39597</v>
      </c>
    </row>
    <row r="37" spans="1:17" x14ac:dyDescent="0.3">
      <c r="P37" t="s">
        <v>199</v>
      </c>
      <c r="Q37" s="6">
        <v>39178</v>
      </c>
    </row>
    <row r="38" spans="1:17" x14ac:dyDescent="0.3">
      <c r="A38" t="s">
        <v>164</v>
      </c>
      <c r="B38" t="s">
        <v>251</v>
      </c>
      <c r="C38" t="s">
        <v>6</v>
      </c>
      <c r="D38" t="s">
        <v>34</v>
      </c>
      <c r="E38" t="s">
        <v>36</v>
      </c>
      <c r="F38" t="s">
        <v>86</v>
      </c>
      <c r="G38" t="s">
        <v>150</v>
      </c>
      <c r="H38" t="s">
        <v>8</v>
      </c>
      <c r="I38" t="s">
        <v>252</v>
      </c>
      <c r="J38" t="s">
        <v>18</v>
      </c>
      <c r="K38" t="s">
        <v>87</v>
      </c>
      <c r="L38" t="s">
        <v>37</v>
      </c>
      <c r="P38" t="s">
        <v>244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251</v>
      </c>
      <c r="Q39" s="6">
        <v>39226</v>
      </c>
    </row>
    <row r="40" spans="1:17" x14ac:dyDescent="0.3">
      <c r="P40" t="s">
        <v>252</v>
      </c>
      <c r="Q40" s="6">
        <v>38395</v>
      </c>
    </row>
    <row r="41" spans="1:17" x14ac:dyDescent="0.3">
      <c r="A41" t="s">
        <v>15</v>
      </c>
      <c r="B41" t="s">
        <v>85</v>
      </c>
      <c r="C41" t="s">
        <v>253</v>
      </c>
      <c r="D41" t="s">
        <v>199</v>
      </c>
      <c r="E41" t="s">
        <v>36</v>
      </c>
      <c r="F41" t="s">
        <v>86</v>
      </c>
      <c r="G41" t="s">
        <v>150</v>
      </c>
      <c r="H41" t="s">
        <v>8</v>
      </c>
      <c r="I41" t="s">
        <v>252</v>
      </c>
      <c r="J41" t="s">
        <v>18</v>
      </c>
      <c r="K41" t="s">
        <v>87</v>
      </c>
      <c r="L41" t="s">
        <v>37</v>
      </c>
      <c r="P41" t="s">
        <v>253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20.181818181818183</v>
      </c>
      <c r="P42" t="s">
        <v>264</v>
      </c>
      <c r="Q42" s="6">
        <v>38062</v>
      </c>
    </row>
    <row r="43" spans="1:17" x14ac:dyDescent="0.3">
      <c r="P43" t="s">
        <v>284</v>
      </c>
      <c r="Q43" s="6">
        <v>39118</v>
      </c>
    </row>
    <row r="44" spans="1:17" x14ac:dyDescent="0.3">
      <c r="A44" t="s">
        <v>112</v>
      </c>
      <c r="B44" t="s">
        <v>85</v>
      </c>
      <c r="C44" t="s">
        <v>253</v>
      </c>
      <c r="D44" t="s">
        <v>199</v>
      </c>
      <c r="E44" t="s">
        <v>264</v>
      </c>
      <c r="F44" t="s">
        <v>86</v>
      </c>
      <c r="G44" t="s">
        <v>150</v>
      </c>
      <c r="H44" t="s">
        <v>8</v>
      </c>
      <c r="I44" t="s">
        <v>35</v>
      </c>
      <c r="J44" t="s">
        <v>6</v>
      </c>
      <c r="K44" t="s">
        <v>87</v>
      </c>
      <c r="L44" t="s">
        <v>37</v>
      </c>
      <c r="P44" t="s">
        <v>285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20.363636363636363</v>
      </c>
      <c r="P45" t="s">
        <v>286</v>
      </c>
      <c r="Q45" s="6">
        <v>39689</v>
      </c>
    </row>
    <row r="46" spans="1:17" x14ac:dyDescent="0.3">
      <c r="P46" t="s">
        <v>300</v>
      </c>
      <c r="Q46" s="6">
        <v>39524</v>
      </c>
    </row>
    <row r="47" spans="1:17" x14ac:dyDescent="0.3">
      <c r="A47" t="s">
        <v>33</v>
      </c>
      <c r="B47" t="s">
        <v>85</v>
      </c>
      <c r="C47" t="s">
        <v>34</v>
      </c>
      <c r="D47" t="s">
        <v>199</v>
      </c>
      <c r="E47" t="s">
        <v>252</v>
      </c>
      <c r="F47" t="s">
        <v>86</v>
      </c>
      <c r="G47" t="s">
        <v>284</v>
      </c>
      <c r="H47" t="s">
        <v>103</v>
      </c>
      <c r="I47" t="s">
        <v>285</v>
      </c>
      <c r="J47" t="s">
        <v>6</v>
      </c>
      <c r="K47" t="s">
        <v>286</v>
      </c>
      <c r="L47" t="s">
        <v>18</v>
      </c>
      <c r="P47" t="s">
        <v>306</v>
      </c>
      <c r="Q47" s="6">
        <v>38884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19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20.09090909090909</v>
      </c>
      <c r="P48" t="s">
        <v>307</v>
      </c>
      <c r="Q48" s="6">
        <v>39283</v>
      </c>
    </row>
    <row r="49" spans="1:17" x14ac:dyDescent="0.3">
      <c r="P49" t="s">
        <v>309</v>
      </c>
      <c r="Q49" s="6">
        <v>36885</v>
      </c>
    </row>
    <row r="50" spans="1:17" x14ac:dyDescent="0.3">
      <c r="A50" t="s">
        <v>102</v>
      </c>
      <c r="B50" t="s">
        <v>251</v>
      </c>
      <c r="C50" t="s">
        <v>35</v>
      </c>
      <c r="D50" t="s">
        <v>199</v>
      </c>
      <c r="E50" t="s">
        <v>252</v>
      </c>
      <c r="F50" t="s">
        <v>253</v>
      </c>
      <c r="G50" t="s">
        <v>284</v>
      </c>
      <c r="H50" t="s">
        <v>103</v>
      </c>
      <c r="I50" t="s">
        <v>285</v>
      </c>
      <c r="J50" t="s">
        <v>6</v>
      </c>
      <c r="K50" t="s">
        <v>286</v>
      </c>
      <c r="L50" t="s">
        <v>18</v>
      </c>
      <c r="P50" t="s">
        <v>310</v>
      </c>
      <c r="Q50" s="6">
        <v>38323</v>
      </c>
    </row>
    <row r="51" spans="1:17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19.545454545454547</v>
      </c>
    </row>
    <row r="53" spans="1:17" x14ac:dyDescent="0.3">
      <c r="A53" t="s">
        <v>149</v>
      </c>
      <c r="B53" t="s">
        <v>251</v>
      </c>
      <c r="C53" t="s">
        <v>34</v>
      </c>
      <c r="D53" t="s">
        <v>199</v>
      </c>
      <c r="E53" t="s">
        <v>252</v>
      </c>
      <c r="F53" t="s">
        <v>36</v>
      </c>
      <c r="G53" t="s">
        <v>284</v>
      </c>
      <c r="H53" t="s">
        <v>300</v>
      </c>
      <c r="I53" t="s">
        <v>285</v>
      </c>
      <c r="J53" t="s">
        <v>6</v>
      </c>
      <c r="K53" t="s">
        <v>286</v>
      </c>
      <c r="L53" t="s">
        <v>37</v>
      </c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20</v>
      </c>
      <c r="D54">
        <f t="shared" ca="1" si="17"/>
        <v>19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19</v>
      </c>
      <c r="N54" s="1">
        <f ca="1">AVERAGE(B54:M54)</f>
        <v>19.09090909090909</v>
      </c>
    </row>
    <row r="56" spans="1:17" x14ac:dyDescent="0.3">
      <c r="A56" t="s">
        <v>166</v>
      </c>
      <c r="B56" t="s">
        <v>251</v>
      </c>
      <c r="C56" t="s">
        <v>34</v>
      </c>
      <c r="D56" t="s">
        <v>199</v>
      </c>
      <c r="E56" t="s">
        <v>306</v>
      </c>
      <c r="F56" t="s">
        <v>36</v>
      </c>
      <c r="G56" t="s">
        <v>152</v>
      </c>
      <c r="H56" t="s">
        <v>300</v>
      </c>
      <c r="I56" t="s">
        <v>18</v>
      </c>
      <c r="J56" t="s">
        <v>6</v>
      </c>
      <c r="K56" t="s">
        <v>286</v>
      </c>
      <c r="L56" t="s">
        <v>307</v>
      </c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20</v>
      </c>
      <c r="D57">
        <f t="shared" ca="1" si="18"/>
        <v>19</v>
      </c>
      <c r="E57">
        <f t="shared" ca="1" si="18"/>
        <v>19</v>
      </c>
      <c r="F57">
        <f t="shared" ca="1" si="18"/>
        <v>20</v>
      </c>
      <c r="G57">
        <f t="shared" ca="1" si="18"/>
        <v>21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19.181818181818183</v>
      </c>
    </row>
    <row r="59" spans="1:17" x14ac:dyDescent="0.3">
      <c r="A59" t="s">
        <v>174</v>
      </c>
      <c r="B59" t="s">
        <v>251</v>
      </c>
      <c r="C59" t="s">
        <v>34</v>
      </c>
      <c r="D59" t="s">
        <v>35</v>
      </c>
      <c r="E59" t="s">
        <v>306</v>
      </c>
      <c r="F59" t="s">
        <v>284</v>
      </c>
      <c r="G59" t="s">
        <v>152</v>
      </c>
      <c r="H59" t="s">
        <v>309</v>
      </c>
      <c r="I59" t="s">
        <v>18</v>
      </c>
      <c r="J59" t="s">
        <v>6</v>
      </c>
      <c r="K59" t="s">
        <v>310</v>
      </c>
      <c r="L59" t="s">
        <v>307</v>
      </c>
    </row>
    <row r="60" spans="1:17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20</v>
      </c>
      <c r="D60">
        <f t="shared" ca="1" si="19"/>
        <v>20</v>
      </c>
      <c r="E60">
        <f t="shared" ca="1" si="19"/>
        <v>19</v>
      </c>
      <c r="F60">
        <f t="shared" ca="1" si="19"/>
        <v>19</v>
      </c>
      <c r="G60">
        <f t="shared" ca="1" si="19"/>
        <v>21</v>
      </c>
      <c r="H60">
        <f t="shared" ca="1" si="19"/>
        <v>25</v>
      </c>
      <c r="I60">
        <f t="shared" ca="1" si="19"/>
        <v>20</v>
      </c>
      <c r="J60">
        <f t="shared" ca="1" si="19"/>
        <v>21</v>
      </c>
      <c r="K60">
        <f t="shared" ca="1" si="19"/>
        <v>21</v>
      </c>
      <c r="L60">
        <f t="shared" ca="1" si="19"/>
        <v>18</v>
      </c>
      <c r="N60" s="1">
        <f ca="1">AVERAGE(B60:M60)</f>
        <v>20.181818181818183</v>
      </c>
    </row>
    <row r="62" spans="1:17" x14ac:dyDescent="0.3">
      <c r="A62" t="s">
        <v>191</v>
      </c>
      <c r="B62" t="s">
        <v>85</v>
      </c>
      <c r="C62" t="s">
        <v>167</v>
      </c>
      <c r="D62" t="s">
        <v>252</v>
      </c>
      <c r="E62" t="s">
        <v>35</v>
      </c>
      <c r="F62" t="s">
        <v>86</v>
      </c>
      <c r="G62" t="s">
        <v>199</v>
      </c>
      <c r="H62" t="s">
        <v>103</v>
      </c>
      <c r="I62" t="s">
        <v>300</v>
      </c>
      <c r="J62" t="s">
        <v>152</v>
      </c>
      <c r="K62" t="s">
        <v>37</v>
      </c>
      <c r="L62" t="s">
        <v>307</v>
      </c>
    </row>
    <row r="63" spans="1:17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21</v>
      </c>
      <c r="E63">
        <f t="shared" ca="1" si="20"/>
        <v>20</v>
      </c>
      <c r="F63">
        <f t="shared" ca="1" si="20"/>
        <v>24</v>
      </c>
      <c r="G63">
        <f t="shared" ca="1" si="20"/>
        <v>19</v>
      </c>
      <c r="H63">
        <f t="shared" ca="1" si="20"/>
        <v>22</v>
      </c>
      <c r="I63">
        <f t="shared" ca="1" si="20"/>
        <v>18</v>
      </c>
      <c r="J63">
        <f t="shared" ca="1" si="20"/>
        <v>21</v>
      </c>
      <c r="K63">
        <f t="shared" ca="1" si="20"/>
        <v>19</v>
      </c>
      <c r="L63">
        <f t="shared" ca="1" si="20"/>
        <v>18</v>
      </c>
      <c r="N63" s="1">
        <f ca="1">AVERAGE(B63:M63)</f>
        <v>20.09090909090909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60"/>
  <sheetViews>
    <sheetView topLeftCell="A31" workbookViewId="0">
      <selection activeCell="G65" sqref="G65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19.650000000000002</v>
      </c>
    </row>
    <row r="2" spans="1:14" x14ac:dyDescent="0.3">
      <c r="A2" t="s">
        <v>55</v>
      </c>
      <c r="B2" t="s">
        <v>19</v>
      </c>
      <c r="C2" t="s">
        <v>13</v>
      </c>
      <c r="D2" t="s">
        <v>88</v>
      </c>
      <c r="E2" t="s">
        <v>89</v>
      </c>
      <c r="F2" t="s">
        <v>20</v>
      </c>
      <c r="G2" t="s">
        <v>90</v>
      </c>
      <c r="H2" t="s">
        <v>39</v>
      </c>
      <c r="I2" t="s">
        <v>91</v>
      </c>
      <c r="J2" t="s">
        <v>21</v>
      </c>
      <c r="K2" t="s">
        <v>92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17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19</v>
      </c>
    </row>
    <row r="5" spans="1:14" x14ac:dyDescent="0.3">
      <c r="A5" t="s">
        <v>119</v>
      </c>
      <c r="B5" t="s">
        <v>19</v>
      </c>
      <c r="C5" t="s">
        <v>13</v>
      </c>
      <c r="D5" t="s">
        <v>120</v>
      </c>
      <c r="E5" t="s">
        <v>89</v>
      </c>
      <c r="F5" t="s">
        <v>20</v>
      </c>
      <c r="G5" t="s">
        <v>90</v>
      </c>
      <c r="H5" t="s">
        <v>121</v>
      </c>
      <c r="I5" t="s">
        <v>91</v>
      </c>
      <c r="J5" t="s">
        <v>21</v>
      </c>
      <c r="K5" t="s">
        <v>122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17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19.636363636363637</v>
      </c>
    </row>
    <row r="8" spans="1:14" x14ac:dyDescent="0.3">
      <c r="A8" t="s">
        <v>155</v>
      </c>
      <c r="B8" t="s">
        <v>19</v>
      </c>
      <c r="C8" t="s">
        <v>13</v>
      </c>
      <c r="D8" t="s">
        <v>88</v>
      </c>
      <c r="E8" t="s">
        <v>89</v>
      </c>
      <c r="F8" t="s">
        <v>20</v>
      </c>
      <c r="G8" t="s">
        <v>90</v>
      </c>
      <c r="H8" t="s">
        <v>156</v>
      </c>
      <c r="I8" t="s">
        <v>91</v>
      </c>
      <c r="J8" t="s">
        <v>157</v>
      </c>
      <c r="K8" t="s">
        <v>39</v>
      </c>
      <c r="L8" t="s">
        <v>158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17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19.181818181818183</v>
      </c>
    </row>
    <row r="11" spans="1:14" x14ac:dyDescent="0.3">
      <c r="A11" t="s">
        <v>171</v>
      </c>
      <c r="B11" t="s">
        <v>19</v>
      </c>
      <c r="C11" t="s">
        <v>13</v>
      </c>
      <c r="D11" t="s">
        <v>30</v>
      </c>
      <c r="E11" t="s">
        <v>89</v>
      </c>
      <c r="F11" t="s">
        <v>20</v>
      </c>
      <c r="G11" t="s">
        <v>90</v>
      </c>
      <c r="H11" t="s">
        <v>156</v>
      </c>
      <c r="I11" t="s">
        <v>91</v>
      </c>
      <c r="J11" t="s">
        <v>157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17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186</v>
      </c>
      <c r="B14" t="s">
        <v>187</v>
      </c>
      <c r="C14" t="s">
        <v>13</v>
      </c>
      <c r="D14" t="s">
        <v>30</v>
      </c>
      <c r="E14" t="s">
        <v>89</v>
      </c>
      <c r="F14" t="s">
        <v>20</v>
      </c>
      <c r="G14" t="s">
        <v>88</v>
      </c>
      <c r="H14" t="s">
        <v>156</v>
      </c>
      <c r="I14" t="s">
        <v>188</v>
      </c>
      <c r="J14" t="s">
        <v>157</v>
      </c>
      <c r="K14" t="s">
        <v>39</v>
      </c>
      <c r="L14" t="s">
        <v>158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17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18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19.727272727272727</v>
      </c>
    </row>
    <row r="17" spans="1:20" x14ac:dyDescent="0.3">
      <c r="A17" t="s">
        <v>207</v>
      </c>
      <c r="B17" t="s">
        <v>187</v>
      </c>
      <c r="C17" t="s">
        <v>208</v>
      </c>
      <c r="D17" t="s">
        <v>30</v>
      </c>
      <c r="E17" t="s">
        <v>89</v>
      </c>
      <c r="F17" t="s">
        <v>20</v>
      </c>
      <c r="G17" t="s">
        <v>88</v>
      </c>
      <c r="H17" t="s">
        <v>209</v>
      </c>
      <c r="I17" t="s">
        <v>91</v>
      </c>
      <c r="J17" t="s">
        <v>157</v>
      </c>
      <c r="K17" t="s">
        <v>39</v>
      </c>
      <c r="L17" t="s">
        <v>90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88</v>
      </c>
      <c r="Q19" s="6">
        <v>39135</v>
      </c>
    </row>
    <row r="20" spans="1:20" x14ac:dyDescent="0.3">
      <c r="A20" t="s">
        <v>210</v>
      </c>
      <c r="B20" t="s">
        <v>187</v>
      </c>
      <c r="C20" t="s">
        <v>13</v>
      </c>
      <c r="D20" t="s">
        <v>120</v>
      </c>
      <c r="E20" t="s">
        <v>89</v>
      </c>
      <c r="F20" t="s">
        <v>20</v>
      </c>
      <c r="G20" t="s">
        <v>21</v>
      </c>
      <c r="H20" t="s">
        <v>211</v>
      </c>
      <c r="I20" t="s">
        <v>91</v>
      </c>
      <c r="J20" t="s">
        <v>157</v>
      </c>
      <c r="K20" t="s">
        <v>39</v>
      </c>
      <c r="L20" t="s">
        <v>121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17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20.363636363636363</v>
      </c>
      <c r="P21" t="s">
        <v>89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221</v>
      </c>
      <c r="B23" t="s">
        <v>187</v>
      </c>
      <c r="C23" t="s">
        <v>13</v>
      </c>
      <c r="D23" t="s">
        <v>208</v>
      </c>
      <c r="E23" t="s">
        <v>89</v>
      </c>
      <c r="F23" t="s">
        <v>20</v>
      </c>
      <c r="G23" t="s">
        <v>21</v>
      </c>
      <c r="H23" t="s">
        <v>211</v>
      </c>
      <c r="I23" t="s">
        <v>91</v>
      </c>
      <c r="J23" t="s">
        <v>88</v>
      </c>
      <c r="K23" t="s">
        <v>39</v>
      </c>
      <c r="L23" t="s">
        <v>158</v>
      </c>
      <c r="P23" t="s">
        <v>91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17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19.454545454545453</v>
      </c>
      <c r="P24" t="s">
        <v>90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226</v>
      </c>
      <c r="B26" t="s">
        <v>187</v>
      </c>
      <c r="C26" t="s">
        <v>13</v>
      </c>
      <c r="D26" t="s">
        <v>157</v>
      </c>
      <c r="E26" t="s">
        <v>89</v>
      </c>
      <c r="F26" t="s">
        <v>20</v>
      </c>
      <c r="G26" t="s">
        <v>188</v>
      </c>
      <c r="H26" t="s">
        <v>30</v>
      </c>
      <c r="I26" t="s">
        <v>91</v>
      </c>
      <c r="J26" t="s">
        <v>88</v>
      </c>
      <c r="K26" t="s">
        <v>39</v>
      </c>
      <c r="L26" t="s">
        <v>158</v>
      </c>
      <c r="P26" t="s">
        <v>92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17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18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19.454545454545453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233</v>
      </c>
      <c r="B29" t="s">
        <v>234</v>
      </c>
      <c r="C29" t="s">
        <v>235</v>
      </c>
      <c r="D29" t="s">
        <v>208</v>
      </c>
      <c r="E29" t="s">
        <v>88</v>
      </c>
      <c r="F29" t="s">
        <v>20</v>
      </c>
      <c r="G29" t="s">
        <v>89</v>
      </c>
      <c r="H29" t="s">
        <v>236</v>
      </c>
      <c r="I29" t="s">
        <v>157</v>
      </c>
      <c r="J29" t="s">
        <v>91</v>
      </c>
      <c r="K29" t="s">
        <v>237</v>
      </c>
      <c r="L29" t="s">
        <v>92</v>
      </c>
      <c r="P29" t="s">
        <v>122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120</v>
      </c>
      <c r="Q30" s="6">
        <v>38392</v>
      </c>
    </row>
    <row r="31" spans="1:20" x14ac:dyDescent="0.3">
      <c r="P31" t="s">
        <v>121</v>
      </c>
      <c r="Q31" s="6">
        <v>37447</v>
      </c>
    </row>
    <row r="32" spans="1:20" x14ac:dyDescent="0.3">
      <c r="A32" t="s">
        <v>240</v>
      </c>
      <c r="B32" t="s">
        <v>187</v>
      </c>
      <c r="C32" t="s">
        <v>235</v>
      </c>
      <c r="D32" t="s">
        <v>209</v>
      </c>
      <c r="E32" t="s">
        <v>88</v>
      </c>
      <c r="F32" t="s">
        <v>20</v>
      </c>
      <c r="G32" t="s">
        <v>89</v>
      </c>
      <c r="H32" t="s">
        <v>211</v>
      </c>
      <c r="I32" t="s">
        <v>157</v>
      </c>
      <c r="J32" t="s">
        <v>91</v>
      </c>
      <c r="K32" t="s">
        <v>30</v>
      </c>
      <c r="L32" t="s">
        <v>121</v>
      </c>
      <c r="P32" t="s">
        <v>156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157</v>
      </c>
      <c r="Q33" s="6">
        <v>38012</v>
      </c>
    </row>
    <row r="34" spans="1:17" x14ac:dyDescent="0.3">
      <c r="P34" t="s">
        <v>158</v>
      </c>
      <c r="Q34" s="6">
        <v>39085</v>
      </c>
    </row>
    <row r="35" spans="1:17" x14ac:dyDescent="0.3">
      <c r="A35" t="s">
        <v>242</v>
      </c>
      <c r="B35" t="s">
        <v>187</v>
      </c>
      <c r="C35" t="s">
        <v>235</v>
      </c>
      <c r="D35" t="s">
        <v>90</v>
      </c>
      <c r="E35" t="s">
        <v>21</v>
      </c>
      <c r="F35" t="s">
        <v>20</v>
      </c>
      <c r="G35" t="s">
        <v>89</v>
      </c>
      <c r="H35" t="s">
        <v>211</v>
      </c>
      <c r="I35" t="s">
        <v>13</v>
      </c>
      <c r="J35" t="s">
        <v>91</v>
      </c>
      <c r="K35" t="s">
        <v>30</v>
      </c>
      <c r="L35" t="s">
        <v>121</v>
      </c>
      <c r="P35" t="s">
        <v>187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17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19.90909090909091</v>
      </c>
      <c r="P36" t="s">
        <v>188</v>
      </c>
      <c r="Q36" s="6">
        <v>39538</v>
      </c>
    </row>
    <row r="37" spans="1:17" x14ac:dyDescent="0.3">
      <c r="P37" t="s">
        <v>208</v>
      </c>
      <c r="Q37" s="6">
        <v>39427</v>
      </c>
    </row>
    <row r="38" spans="1:17" x14ac:dyDescent="0.3">
      <c r="A38" t="s">
        <v>249</v>
      </c>
      <c r="B38" t="s">
        <v>187</v>
      </c>
      <c r="C38" t="s">
        <v>88</v>
      </c>
      <c r="D38" t="s">
        <v>90</v>
      </c>
      <c r="E38" t="s">
        <v>21</v>
      </c>
      <c r="F38" t="s">
        <v>20</v>
      </c>
      <c r="G38" t="s">
        <v>89</v>
      </c>
      <c r="H38" t="s">
        <v>211</v>
      </c>
      <c r="I38" t="s">
        <v>13</v>
      </c>
      <c r="J38" t="s">
        <v>188</v>
      </c>
      <c r="K38" t="s">
        <v>30</v>
      </c>
      <c r="L38" t="s">
        <v>158</v>
      </c>
      <c r="P38" t="s">
        <v>209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17</v>
      </c>
      <c r="J39">
        <f t="shared" ca="1" si="12"/>
        <v>18</v>
      </c>
      <c r="K39">
        <f t="shared" ca="1" si="12"/>
        <v>22</v>
      </c>
      <c r="L39">
        <f t="shared" ca="1" si="12"/>
        <v>19</v>
      </c>
      <c r="N39" s="1">
        <f ca="1">AVERAGE(B39:M39)</f>
        <v>19.545454545454547</v>
      </c>
      <c r="P39" t="s">
        <v>211</v>
      </c>
      <c r="Q39" s="6">
        <v>37302</v>
      </c>
    </row>
    <row r="40" spans="1:17" x14ac:dyDescent="0.3">
      <c r="P40" t="s">
        <v>234</v>
      </c>
      <c r="Q40" s="6">
        <v>38913</v>
      </c>
    </row>
    <row r="41" spans="1:17" x14ac:dyDescent="0.3">
      <c r="A41" t="s">
        <v>256</v>
      </c>
      <c r="B41" t="s">
        <v>187</v>
      </c>
      <c r="C41" t="s">
        <v>208</v>
      </c>
      <c r="D41" t="s">
        <v>90</v>
      </c>
      <c r="E41" t="s">
        <v>257</v>
      </c>
      <c r="F41" t="s">
        <v>20</v>
      </c>
      <c r="G41" t="s">
        <v>89</v>
      </c>
      <c r="H41" t="s">
        <v>91</v>
      </c>
      <c r="I41" t="s">
        <v>13</v>
      </c>
      <c r="J41" t="s">
        <v>188</v>
      </c>
      <c r="K41" t="s">
        <v>30</v>
      </c>
      <c r="L41" t="s">
        <v>158</v>
      </c>
      <c r="P41" t="s">
        <v>235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17</v>
      </c>
      <c r="J42">
        <f t="shared" ca="1" si="13"/>
        <v>18</v>
      </c>
      <c r="K42">
        <f t="shared" ca="1" si="13"/>
        <v>22</v>
      </c>
      <c r="L42">
        <f t="shared" ca="1" si="13"/>
        <v>19</v>
      </c>
      <c r="N42" s="1">
        <f ca="1">AVERAGE(B42:M42)</f>
        <v>19</v>
      </c>
      <c r="P42" t="s">
        <v>236</v>
      </c>
      <c r="Q42" s="6">
        <v>39771</v>
      </c>
    </row>
    <row r="43" spans="1:17" x14ac:dyDescent="0.3">
      <c r="P43" t="s">
        <v>237</v>
      </c>
      <c r="Q43" s="6">
        <v>39339</v>
      </c>
    </row>
    <row r="44" spans="1:17" x14ac:dyDescent="0.3">
      <c r="A44" t="s">
        <v>262</v>
      </c>
      <c r="B44" t="s">
        <v>187</v>
      </c>
      <c r="C44" t="s">
        <v>88</v>
      </c>
      <c r="D44" t="s">
        <v>39</v>
      </c>
      <c r="E44" t="s">
        <v>257</v>
      </c>
      <c r="F44" t="s">
        <v>20</v>
      </c>
      <c r="G44" t="s">
        <v>89</v>
      </c>
      <c r="H44" t="s">
        <v>211</v>
      </c>
      <c r="I44" t="s">
        <v>13</v>
      </c>
      <c r="J44" t="s">
        <v>21</v>
      </c>
      <c r="K44" t="s">
        <v>30</v>
      </c>
      <c r="L44" t="s">
        <v>158</v>
      </c>
      <c r="P44" t="s">
        <v>257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17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20.272727272727273</v>
      </c>
      <c r="P45" t="s">
        <v>304</v>
      </c>
      <c r="Q45" s="6">
        <v>38724</v>
      </c>
    </row>
    <row r="46" spans="1:17" x14ac:dyDescent="0.3">
      <c r="P46" t="s">
        <v>303</v>
      </c>
      <c r="Q46" s="6">
        <v>37752</v>
      </c>
    </row>
    <row r="47" spans="1:17" x14ac:dyDescent="0.3">
      <c r="A47" t="s">
        <v>267</v>
      </c>
      <c r="B47" t="s">
        <v>187</v>
      </c>
      <c r="C47" t="s">
        <v>90</v>
      </c>
      <c r="D47" t="s">
        <v>39</v>
      </c>
      <c r="E47" t="s">
        <v>257</v>
      </c>
      <c r="F47" t="s">
        <v>20</v>
      </c>
      <c r="G47" t="s">
        <v>89</v>
      </c>
      <c r="H47" t="s">
        <v>211</v>
      </c>
      <c r="I47" t="s">
        <v>13</v>
      </c>
      <c r="J47" t="s">
        <v>21</v>
      </c>
      <c r="K47" t="s">
        <v>30</v>
      </c>
      <c r="L47" t="s">
        <v>158</v>
      </c>
      <c r="P47" t="s">
        <v>320</v>
      </c>
      <c r="Q47" s="6">
        <v>38991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17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20.181818181818183</v>
      </c>
    </row>
    <row r="50" spans="1:14" x14ac:dyDescent="0.3">
      <c r="A50" t="s">
        <v>55</v>
      </c>
      <c r="B50" t="s">
        <v>303</v>
      </c>
      <c r="C50" t="s">
        <v>208</v>
      </c>
      <c r="D50" t="s">
        <v>13</v>
      </c>
      <c r="E50" t="s">
        <v>20</v>
      </c>
      <c r="F50" t="s">
        <v>157</v>
      </c>
      <c r="G50" t="s">
        <v>211</v>
      </c>
      <c r="H50" t="s">
        <v>91</v>
      </c>
      <c r="I50" t="s">
        <v>304</v>
      </c>
      <c r="J50" t="s">
        <v>236</v>
      </c>
      <c r="K50" t="s">
        <v>30</v>
      </c>
      <c r="L50" t="s">
        <v>158</v>
      </c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17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19.727272727272727</v>
      </c>
    </row>
    <row r="53" spans="1:14" x14ac:dyDescent="0.3">
      <c r="A53" t="s">
        <v>119</v>
      </c>
      <c r="B53" t="s">
        <v>187</v>
      </c>
      <c r="C53" t="s">
        <v>208</v>
      </c>
      <c r="D53" t="s">
        <v>88</v>
      </c>
      <c r="E53" t="s">
        <v>20</v>
      </c>
      <c r="F53" t="s">
        <v>89</v>
      </c>
      <c r="G53" t="s">
        <v>157</v>
      </c>
      <c r="H53" t="s">
        <v>211</v>
      </c>
      <c r="I53" t="s">
        <v>304</v>
      </c>
      <c r="J53" t="s">
        <v>21</v>
      </c>
      <c r="K53" t="s">
        <v>30</v>
      </c>
      <c r="L53" t="s">
        <v>158</v>
      </c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  <row r="56" spans="1:14" x14ac:dyDescent="0.3">
      <c r="A56" t="s">
        <v>186</v>
      </c>
      <c r="B56" t="s">
        <v>303</v>
      </c>
      <c r="C56" t="s">
        <v>209</v>
      </c>
      <c r="D56" t="s">
        <v>88</v>
      </c>
      <c r="E56" t="s">
        <v>20</v>
      </c>
      <c r="F56" t="s">
        <v>89</v>
      </c>
      <c r="G56" t="s">
        <v>157</v>
      </c>
      <c r="H56" t="s">
        <v>91</v>
      </c>
      <c r="I56" t="s">
        <v>304</v>
      </c>
      <c r="J56" t="s">
        <v>21</v>
      </c>
      <c r="K56" t="s">
        <v>30</v>
      </c>
      <c r="L56" t="s">
        <v>158</v>
      </c>
    </row>
    <row r="57" spans="1:14" x14ac:dyDescent="0.3">
      <c r="B57">
        <f ca="1">DATEDIF(VLOOKUP(B56,$P$18:$Q$100,2,FALSE),TODAY(),"Y")</f>
        <v>22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19</v>
      </c>
      <c r="F57">
        <f t="shared" ca="1" si="18"/>
        <v>19</v>
      </c>
      <c r="G57">
        <f t="shared" ca="1" si="18"/>
        <v>22</v>
      </c>
      <c r="H57">
        <f t="shared" ca="1" si="18"/>
        <v>17</v>
      </c>
      <c r="I57">
        <f t="shared" ca="1" si="18"/>
        <v>20</v>
      </c>
      <c r="J57">
        <f t="shared" ca="1" si="18"/>
        <v>20</v>
      </c>
      <c r="K57">
        <f t="shared" ca="1" si="18"/>
        <v>22</v>
      </c>
      <c r="L57">
        <f t="shared" ca="1" si="18"/>
        <v>19</v>
      </c>
      <c r="N57" s="1">
        <f ca="1">AVERAGE(B57:M57)</f>
        <v>19.727272727272727</v>
      </c>
    </row>
    <row r="59" spans="1:14" x14ac:dyDescent="0.3">
      <c r="A59" t="s">
        <v>207</v>
      </c>
      <c r="B59" t="s">
        <v>303</v>
      </c>
      <c r="C59" t="s">
        <v>320</v>
      </c>
      <c r="D59" t="s">
        <v>88</v>
      </c>
      <c r="E59" t="s">
        <v>208</v>
      </c>
      <c r="F59" t="s">
        <v>89</v>
      </c>
      <c r="G59" t="s">
        <v>157</v>
      </c>
      <c r="H59" t="s">
        <v>91</v>
      </c>
      <c r="I59" t="s">
        <v>304</v>
      </c>
      <c r="J59" t="s">
        <v>21</v>
      </c>
      <c r="K59" t="s">
        <v>30</v>
      </c>
      <c r="L59" t="s">
        <v>158</v>
      </c>
    </row>
    <row r="60" spans="1:14" x14ac:dyDescent="0.3">
      <c r="B60">
        <f ca="1">DATEDIF(VLOOKUP(B59,$P$18:$Q$100,2,FALSE),TODAY(),"Y")</f>
        <v>22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22</v>
      </c>
      <c r="H60">
        <f t="shared" ca="1" si="19"/>
        <v>17</v>
      </c>
      <c r="I60">
        <f t="shared" ca="1" si="19"/>
        <v>20</v>
      </c>
      <c r="J60">
        <f t="shared" ca="1" si="19"/>
        <v>20</v>
      </c>
      <c r="K60">
        <f t="shared" ca="1" si="19"/>
        <v>22</v>
      </c>
      <c r="L60">
        <f t="shared" ca="1" si="19"/>
        <v>19</v>
      </c>
      <c r="N60" s="1">
        <f ca="1">AVERAGE(B60:M60)</f>
        <v>19.727272727272727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72"/>
  <sheetViews>
    <sheetView topLeftCell="A43" workbookViewId="0">
      <selection activeCell="F72" sqref="F72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20.984848484848484</v>
      </c>
    </row>
    <row r="2" spans="1:14" x14ac:dyDescent="0.3">
      <c r="A2" t="s">
        <v>60</v>
      </c>
      <c r="B2" t="s">
        <v>93</v>
      </c>
      <c r="C2" t="s">
        <v>26</v>
      </c>
      <c r="D2" t="s">
        <v>38</v>
      </c>
      <c r="E2" t="s">
        <v>94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109</v>
      </c>
      <c r="B5" t="s">
        <v>93</v>
      </c>
      <c r="C5" t="s">
        <v>26</v>
      </c>
      <c r="D5" t="s">
        <v>110</v>
      </c>
      <c r="E5" t="s">
        <v>94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153</v>
      </c>
      <c r="B8" t="s">
        <v>93</v>
      </c>
      <c r="C8" t="s">
        <v>26</v>
      </c>
      <c r="D8" t="s">
        <v>110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154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93</v>
      </c>
      <c r="C11" t="s">
        <v>26</v>
      </c>
      <c r="D11" t="s">
        <v>110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154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177</v>
      </c>
      <c r="B14" t="s">
        <v>93</v>
      </c>
      <c r="C14" t="s">
        <v>26</v>
      </c>
      <c r="D14" t="s">
        <v>110</v>
      </c>
      <c r="E14" t="s">
        <v>59</v>
      </c>
      <c r="F14" t="s">
        <v>23</v>
      </c>
      <c r="G14" t="s">
        <v>178</v>
      </c>
      <c r="H14" t="s">
        <v>31</v>
      </c>
      <c r="I14" t="s">
        <v>22</v>
      </c>
      <c r="J14" t="s">
        <v>24</v>
      </c>
      <c r="K14" t="s">
        <v>179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169</v>
      </c>
      <c r="B17" t="s">
        <v>93</v>
      </c>
      <c r="C17" t="s">
        <v>26</v>
      </c>
      <c r="D17" t="s">
        <v>110</v>
      </c>
      <c r="E17" t="s">
        <v>59</v>
      </c>
      <c r="F17" t="s">
        <v>23</v>
      </c>
      <c r="G17" t="s">
        <v>178</v>
      </c>
      <c r="H17" t="s">
        <v>79</v>
      </c>
      <c r="I17" t="s">
        <v>22</v>
      </c>
      <c r="J17" t="s">
        <v>24</v>
      </c>
      <c r="K17" t="s">
        <v>179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93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93</v>
      </c>
      <c r="C20" t="s">
        <v>154</v>
      </c>
      <c r="D20" t="s">
        <v>110</v>
      </c>
      <c r="E20" t="s">
        <v>59</v>
      </c>
      <c r="F20" t="s">
        <v>23</v>
      </c>
      <c r="G20" t="s">
        <v>219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94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93</v>
      </c>
      <c r="C23" t="s">
        <v>154</v>
      </c>
      <c r="D23" t="s">
        <v>110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227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93</v>
      </c>
      <c r="C26" t="s">
        <v>230</v>
      </c>
      <c r="D26" t="s">
        <v>110</v>
      </c>
      <c r="E26" t="s">
        <v>59</v>
      </c>
      <c r="F26" t="s">
        <v>179</v>
      </c>
      <c r="G26" t="s">
        <v>26</v>
      </c>
      <c r="H26" t="s">
        <v>79</v>
      </c>
      <c r="I26" t="s">
        <v>38</v>
      </c>
      <c r="J26" t="s">
        <v>24</v>
      </c>
      <c r="K26" t="s">
        <v>219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223</v>
      </c>
      <c r="B29" t="s">
        <v>93</v>
      </c>
      <c r="C29" t="s">
        <v>230</v>
      </c>
      <c r="D29" t="s">
        <v>178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241</v>
      </c>
      <c r="L29" t="s">
        <v>154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110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203</v>
      </c>
      <c r="B32" t="s">
        <v>93</v>
      </c>
      <c r="C32" t="s">
        <v>230</v>
      </c>
      <c r="D32" t="s">
        <v>178</v>
      </c>
      <c r="E32" t="s">
        <v>247</v>
      </c>
      <c r="F32" t="s">
        <v>110</v>
      </c>
      <c r="G32" t="s">
        <v>32</v>
      </c>
      <c r="H32" t="s">
        <v>179</v>
      </c>
      <c r="I32" t="s">
        <v>248</v>
      </c>
      <c r="J32" t="s">
        <v>25</v>
      </c>
      <c r="K32" t="s">
        <v>241</v>
      </c>
      <c r="L32" t="s">
        <v>154</v>
      </c>
      <c r="N32" s="1"/>
      <c r="P32" t="s">
        <v>154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178</v>
      </c>
      <c r="Q33" s="6">
        <v>38324</v>
      </c>
    </row>
    <row r="34" spans="1:17" x14ac:dyDescent="0.3">
      <c r="P34" t="s">
        <v>179</v>
      </c>
      <c r="Q34" s="6">
        <v>38653</v>
      </c>
    </row>
    <row r="35" spans="1:17" x14ac:dyDescent="0.3">
      <c r="A35" t="s">
        <v>51</v>
      </c>
      <c r="B35" t="s">
        <v>93</v>
      </c>
      <c r="C35" t="s">
        <v>230</v>
      </c>
      <c r="D35" t="s">
        <v>59</v>
      </c>
      <c r="E35" t="s">
        <v>247</v>
      </c>
      <c r="F35" t="s">
        <v>110</v>
      </c>
      <c r="G35" t="s">
        <v>24</v>
      </c>
      <c r="H35" t="s">
        <v>26</v>
      </c>
      <c r="I35" t="s">
        <v>248</v>
      </c>
      <c r="J35" t="s">
        <v>25</v>
      </c>
      <c r="K35" t="s">
        <v>241</v>
      </c>
      <c r="L35" t="s">
        <v>154</v>
      </c>
      <c r="N35" s="1"/>
      <c r="P35" t="s">
        <v>219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227</v>
      </c>
      <c r="Q36" s="6">
        <v>39501</v>
      </c>
    </row>
    <row r="37" spans="1:17" x14ac:dyDescent="0.3">
      <c r="P37" t="s">
        <v>230</v>
      </c>
      <c r="Q37" s="6">
        <v>38783</v>
      </c>
    </row>
    <row r="38" spans="1:17" x14ac:dyDescent="0.3">
      <c r="A38" t="s">
        <v>181</v>
      </c>
      <c r="B38" t="s">
        <v>93</v>
      </c>
      <c r="C38" t="s">
        <v>178</v>
      </c>
      <c r="D38" t="s">
        <v>59</v>
      </c>
      <c r="E38" t="s">
        <v>247</v>
      </c>
      <c r="F38" t="s">
        <v>110</v>
      </c>
      <c r="G38" t="s">
        <v>24</v>
      </c>
      <c r="H38" t="s">
        <v>32</v>
      </c>
      <c r="I38" t="s">
        <v>263</v>
      </c>
      <c r="J38" t="s">
        <v>25</v>
      </c>
      <c r="K38" t="s">
        <v>23</v>
      </c>
      <c r="L38" t="s">
        <v>154</v>
      </c>
      <c r="N38" s="1"/>
      <c r="P38" t="s">
        <v>241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247</v>
      </c>
      <c r="Q39" s="6">
        <v>38493</v>
      </c>
    </row>
    <row r="40" spans="1:17" x14ac:dyDescent="0.3">
      <c r="P40" t="s">
        <v>248</v>
      </c>
      <c r="Q40" s="6">
        <v>39427</v>
      </c>
    </row>
    <row r="41" spans="1:17" x14ac:dyDescent="0.3">
      <c r="A41" t="s">
        <v>53</v>
      </c>
      <c r="B41" t="s">
        <v>93</v>
      </c>
      <c r="C41" t="s">
        <v>270</v>
      </c>
      <c r="D41" t="s">
        <v>59</v>
      </c>
      <c r="E41" t="s">
        <v>247</v>
      </c>
      <c r="F41" t="s">
        <v>110</v>
      </c>
      <c r="G41" t="s">
        <v>24</v>
      </c>
      <c r="H41" t="s">
        <v>271</v>
      </c>
      <c r="I41" t="s">
        <v>26</v>
      </c>
      <c r="J41" t="s">
        <v>25</v>
      </c>
      <c r="K41" t="s">
        <v>241</v>
      </c>
      <c r="L41" t="s">
        <v>22</v>
      </c>
      <c r="N41" s="1"/>
      <c r="P41" t="s">
        <v>263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271</v>
      </c>
      <c r="Q42" s="6">
        <v>38599</v>
      </c>
    </row>
    <row r="43" spans="1:17" x14ac:dyDescent="0.3">
      <c r="P43" t="s">
        <v>270</v>
      </c>
      <c r="Q43" s="6">
        <v>38364</v>
      </c>
    </row>
    <row r="44" spans="1:17" x14ac:dyDescent="0.3">
      <c r="A44" t="s">
        <v>231</v>
      </c>
      <c r="B44" t="s">
        <v>93</v>
      </c>
      <c r="C44" t="s">
        <v>270</v>
      </c>
      <c r="D44" t="s">
        <v>23</v>
      </c>
      <c r="E44" t="s">
        <v>247</v>
      </c>
      <c r="F44" t="s">
        <v>110</v>
      </c>
      <c r="G44" t="s">
        <v>24</v>
      </c>
      <c r="H44" t="s">
        <v>271</v>
      </c>
      <c r="I44" t="s">
        <v>26</v>
      </c>
      <c r="J44" t="s">
        <v>25</v>
      </c>
      <c r="K44" t="s">
        <v>241</v>
      </c>
      <c r="L44" t="s">
        <v>22</v>
      </c>
      <c r="N44" s="1"/>
      <c r="P44" t="s">
        <v>276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189</v>
      </c>
      <c r="Q45" s="6">
        <v>38999</v>
      </c>
    </row>
    <row r="46" spans="1:17" x14ac:dyDescent="0.3">
      <c r="P46" t="s">
        <v>287</v>
      </c>
      <c r="Q46" s="6">
        <v>35610</v>
      </c>
    </row>
    <row r="47" spans="1:17" x14ac:dyDescent="0.3">
      <c r="A47" t="s">
        <v>60</v>
      </c>
      <c r="B47" t="s">
        <v>93</v>
      </c>
      <c r="C47" t="s">
        <v>270</v>
      </c>
      <c r="D47" t="s">
        <v>23</v>
      </c>
      <c r="E47" t="s">
        <v>247</v>
      </c>
      <c r="F47" t="s">
        <v>110</v>
      </c>
      <c r="G47" t="s">
        <v>263</v>
      </c>
      <c r="H47" t="s">
        <v>271</v>
      </c>
      <c r="I47" t="s">
        <v>26</v>
      </c>
      <c r="J47" t="s">
        <v>25</v>
      </c>
      <c r="K47" t="s">
        <v>241</v>
      </c>
      <c r="L47" t="s">
        <v>79</v>
      </c>
      <c r="N47" s="1"/>
      <c r="P47" t="s">
        <v>302</v>
      </c>
      <c r="Q47" s="6">
        <v>37823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  <c r="P48" t="s">
        <v>317</v>
      </c>
      <c r="Q48" s="6">
        <v>39100</v>
      </c>
    </row>
    <row r="49" spans="1:17" x14ac:dyDescent="0.3">
      <c r="P49" t="s">
        <v>319</v>
      </c>
      <c r="Q49" s="6">
        <v>38841</v>
      </c>
    </row>
    <row r="50" spans="1:17" x14ac:dyDescent="0.3">
      <c r="A50" t="s">
        <v>109</v>
      </c>
      <c r="B50" t="s">
        <v>93</v>
      </c>
      <c r="C50" t="s">
        <v>227</v>
      </c>
      <c r="D50" t="s">
        <v>23</v>
      </c>
      <c r="E50" t="s">
        <v>247</v>
      </c>
      <c r="F50" t="s">
        <v>110</v>
      </c>
      <c r="G50" t="s">
        <v>263</v>
      </c>
      <c r="H50" t="s">
        <v>271</v>
      </c>
      <c r="I50" t="s">
        <v>26</v>
      </c>
      <c r="J50" t="s">
        <v>25</v>
      </c>
      <c r="K50" t="s">
        <v>276</v>
      </c>
      <c r="L50" t="s">
        <v>248</v>
      </c>
      <c r="N50" s="1"/>
      <c r="P50" t="s">
        <v>318</v>
      </c>
      <c r="Q50" s="6">
        <v>39034</v>
      </c>
    </row>
    <row r="51" spans="1:17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7" x14ac:dyDescent="0.3">
      <c r="A53" t="s">
        <v>153</v>
      </c>
      <c r="B53" t="s">
        <v>93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154</v>
      </c>
      <c r="I53" t="s">
        <v>189</v>
      </c>
      <c r="J53" t="s">
        <v>25</v>
      </c>
      <c r="K53" t="s">
        <v>276</v>
      </c>
      <c r="L53" t="s">
        <v>287</v>
      </c>
      <c r="N53" s="1"/>
    </row>
    <row r="54" spans="1:17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7" x14ac:dyDescent="0.3">
      <c r="A56" t="s">
        <v>49</v>
      </c>
      <c r="B56" t="s">
        <v>93</v>
      </c>
      <c r="C56" t="s">
        <v>31</v>
      </c>
      <c r="D56" t="s">
        <v>230</v>
      </c>
      <c r="E56" t="s">
        <v>241</v>
      </c>
      <c r="F56" t="s">
        <v>38</v>
      </c>
      <c r="G56" t="s">
        <v>79</v>
      </c>
      <c r="H56" t="s">
        <v>154</v>
      </c>
      <c r="I56" t="s">
        <v>110</v>
      </c>
      <c r="J56" t="s">
        <v>25</v>
      </c>
      <c r="K56" t="s">
        <v>270</v>
      </c>
      <c r="L56" t="s">
        <v>287</v>
      </c>
      <c r="N56" s="1"/>
    </row>
    <row r="57" spans="1:17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7" x14ac:dyDescent="0.3">
      <c r="A59" t="s">
        <v>177</v>
      </c>
      <c r="B59" t="s">
        <v>93</v>
      </c>
      <c r="C59" t="s">
        <v>23</v>
      </c>
      <c r="D59" t="s">
        <v>230</v>
      </c>
      <c r="E59" t="s">
        <v>241</v>
      </c>
      <c r="F59" t="s">
        <v>38</v>
      </c>
      <c r="G59" t="s">
        <v>79</v>
      </c>
      <c r="H59" t="s">
        <v>154</v>
      </c>
      <c r="I59" t="s">
        <v>110</v>
      </c>
      <c r="J59" t="s">
        <v>25</v>
      </c>
      <c r="K59" t="s">
        <v>270</v>
      </c>
      <c r="L59" t="s">
        <v>287</v>
      </c>
      <c r="N59" s="1"/>
    </row>
    <row r="60" spans="1:17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7" x14ac:dyDescent="0.3">
      <c r="A62" t="s">
        <v>169</v>
      </c>
      <c r="B62" t="s">
        <v>93</v>
      </c>
      <c r="C62" t="s">
        <v>23</v>
      </c>
      <c r="D62" t="s">
        <v>230</v>
      </c>
      <c r="E62" t="s">
        <v>241</v>
      </c>
      <c r="F62" t="s">
        <v>302</v>
      </c>
      <c r="G62" t="s">
        <v>79</v>
      </c>
      <c r="H62" t="s">
        <v>227</v>
      </c>
      <c r="I62" t="s">
        <v>110</v>
      </c>
      <c r="J62" t="s">
        <v>25</v>
      </c>
      <c r="K62" t="s">
        <v>271</v>
      </c>
      <c r="L62" t="s">
        <v>287</v>
      </c>
      <c r="N62" s="1"/>
    </row>
    <row r="63" spans="1:17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  <row r="65" spans="1:14" x14ac:dyDescent="0.3">
      <c r="A65" t="s">
        <v>50</v>
      </c>
      <c r="B65" t="s">
        <v>93</v>
      </c>
      <c r="C65" t="s">
        <v>23</v>
      </c>
      <c r="D65" t="s">
        <v>230</v>
      </c>
      <c r="E65" t="s">
        <v>22</v>
      </c>
      <c r="F65" t="s">
        <v>302</v>
      </c>
      <c r="G65" t="s">
        <v>79</v>
      </c>
      <c r="H65" t="s">
        <v>227</v>
      </c>
      <c r="I65" t="s">
        <v>247</v>
      </c>
      <c r="J65" t="s">
        <v>25</v>
      </c>
      <c r="K65" t="s">
        <v>271</v>
      </c>
      <c r="L65" t="s">
        <v>287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20</v>
      </c>
      <c r="J66">
        <f t="shared" ca="1" si="21"/>
        <v>36</v>
      </c>
      <c r="K66">
        <f t="shared" ca="1" si="21"/>
        <v>20</v>
      </c>
      <c r="L66">
        <f t="shared" ca="1" si="21"/>
        <v>28</v>
      </c>
      <c r="N66" s="1">
        <f ca="1">AVERAGE(B66:M66)</f>
        <v>21.90909090909091</v>
      </c>
    </row>
    <row r="68" spans="1:14" x14ac:dyDescent="0.3">
      <c r="A68" t="s">
        <v>46</v>
      </c>
      <c r="B68" t="s">
        <v>317</v>
      </c>
      <c r="C68" t="s">
        <v>23</v>
      </c>
      <c r="D68" t="s">
        <v>230</v>
      </c>
      <c r="E68" t="s">
        <v>318</v>
      </c>
      <c r="F68" t="s">
        <v>302</v>
      </c>
      <c r="G68" t="s">
        <v>79</v>
      </c>
      <c r="H68" t="s">
        <v>241</v>
      </c>
      <c r="I68" t="s">
        <v>247</v>
      </c>
      <c r="J68" t="s">
        <v>319</v>
      </c>
      <c r="K68" t="s">
        <v>271</v>
      </c>
      <c r="L68" t="s">
        <v>287</v>
      </c>
      <c r="N68" s="1"/>
    </row>
    <row r="69" spans="1:14" x14ac:dyDescent="0.3">
      <c r="B69">
        <f ca="1">DATEDIF(VLOOKUP(B68,$P$18:$Q$100,2,FALSE),TODAY(),"Y")</f>
        <v>19</v>
      </c>
      <c r="C69">
        <f t="shared" ref="C69:L69" ca="1" si="22">DATEDIF(VLOOKUP(C68,$P$18:$Q$100,2,FALSE),TODAY(),"Y")</f>
        <v>19</v>
      </c>
      <c r="D69">
        <f t="shared" ca="1" si="22"/>
        <v>20</v>
      </c>
      <c r="E69">
        <f t="shared" ca="1" si="22"/>
        <v>19</v>
      </c>
      <c r="F69">
        <f t="shared" ca="1" si="22"/>
        <v>22</v>
      </c>
      <c r="G69">
        <f t="shared" ca="1" si="22"/>
        <v>18</v>
      </c>
      <c r="H69">
        <f t="shared" ca="1" si="22"/>
        <v>20</v>
      </c>
      <c r="I69">
        <f t="shared" ca="1" si="22"/>
        <v>20</v>
      </c>
      <c r="J69">
        <f t="shared" ca="1" si="22"/>
        <v>19</v>
      </c>
      <c r="K69">
        <f t="shared" ca="1" si="22"/>
        <v>20</v>
      </c>
      <c r="L69">
        <f t="shared" ca="1" si="22"/>
        <v>28</v>
      </c>
      <c r="N69" s="1">
        <f ca="1">AVERAGE(B69:M69)</f>
        <v>20.363636363636363</v>
      </c>
    </row>
    <row r="71" spans="1:14" x14ac:dyDescent="0.3">
      <c r="A71" t="s">
        <v>55</v>
      </c>
      <c r="B71" t="s">
        <v>317</v>
      </c>
      <c r="C71" t="s">
        <v>23</v>
      </c>
      <c r="D71" t="s">
        <v>38</v>
      </c>
      <c r="E71" t="s">
        <v>59</v>
      </c>
      <c r="F71" t="s">
        <v>24</v>
      </c>
      <c r="G71" t="s">
        <v>79</v>
      </c>
      <c r="H71" t="s">
        <v>227</v>
      </c>
      <c r="I71" t="s">
        <v>25</v>
      </c>
      <c r="J71" t="s">
        <v>189</v>
      </c>
      <c r="K71" t="s">
        <v>271</v>
      </c>
      <c r="L71" t="s">
        <v>287</v>
      </c>
      <c r="N71" s="1"/>
    </row>
    <row r="72" spans="1:14" x14ac:dyDescent="0.3">
      <c r="B72">
        <f ca="1">DATEDIF(VLOOKUP(B71,$P$18:$Q$100,2,FALSE),TODAY(),"Y")</f>
        <v>19</v>
      </c>
      <c r="C72">
        <f t="shared" ref="C72:L72" ca="1" si="23">DATEDIF(VLOOKUP(C71,$P$18:$Q$100,2,FALSE),TODAY(),"Y")</f>
        <v>19</v>
      </c>
      <c r="D72">
        <f t="shared" ca="1" si="23"/>
        <v>18</v>
      </c>
      <c r="E72">
        <f t="shared" ca="1" si="23"/>
        <v>19</v>
      </c>
      <c r="F72">
        <f t="shared" ca="1" si="23"/>
        <v>19</v>
      </c>
      <c r="G72">
        <f t="shared" ca="1" si="23"/>
        <v>18</v>
      </c>
      <c r="H72">
        <f t="shared" ca="1" si="23"/>
        <v>18</v>
      </c>
      <c r="I72">
        <f t="shared" ca="1" si="23"/>
        <v>36</v>
      </c>
      <c r="J72">
        <f t="shared" ca="1" si="23"/>
        <v>19</v>
      </c>
      <c r="K72">
        <f t="shared" ca="1" si="23"/>
        <v>20</v>
      </c>
      <c r="L72">
        <f t="shared" ca="1" si="23"/>
        <v>28</v>
      </c>
      <c r="N72" s="1">
        <f ca="1">AVERAGE(B72:M72)</f>
        <v>21.181818181818183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63"/>
  <sheetViews>
    <sheetView workbookViewId="0">
      <selection activeCell="I72" sqref="I72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20.98268398268398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95</v>
      </c>
      <c r="L2" t="s">
        <v>96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20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21.272727272727273</v>
      </c>
    </row>
    <row r="5" spans="1:14" x14ac:dyDescent="0.3">
      <c r="A5" t="s">
        <v>112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111</v>
      </c>
      <c r="I5" t="s">
        <v>28</v>
      </c>
      <c r="J5" t="s">
        <v>78</v>
      </c>
      <c r="K5" t="s">
        <v>95</v>
      </c>
      <c r="L5" t="s">
        <v>96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20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21.545454545454547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95</v>
      </c>
      <c r="L8" t="s">
        <v>96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20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21.272727272727273</v>
      </c>
    </row>
    <row r="11" spans="1:14" x14ac:dyDescent="0.3">
      <c r="A11" t="s">
        <v>102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111</v>
      </c>
      <c r="H11" t="s">
        <v>14</v>
      </c>
      <c r="I11" t="s">
        <v>28</v>
      </c>
      <c r="J11" t="s">
        <v>78</v>
      </c>
      <c r="K11" t="s">
        <v>170</v>
      </c>
      <c r="L11" t="s">
        <v>96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149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111</v>
      </c>
      <c r="H14" t="s">
        <v>175</v>
      </c>
      <c r="I14" t="s">
        <v>176</v>
      </c>
      <c r="J14" t="s">
        <v>78</v>
      </c>
      <c r="K14" t="s">
        <v>170</v>
      </c>
      <c r="L14" t="s">
        <v>96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166</v>
      </c>
      <c r="B17" t="s">
        <v>13</v>
      </c>
      <c r="C17" t="s">
        <v>192</v>
      </c>
      <c r="D17" t="s">
        <v>10</v>
      </c>
      <c r="E17" t="s">
        <v>14</v>
      </c>
      <c r="F17" t="s">
        <v>12</v>
      </c>
      <c r="G17" t="s">
        <v>95</v>
      </c>
      <c r="H17" t="s">
        <v>193</v>
      </c>
      <c r="I17" t="s">
        <v>28</v>
      </c>
      <c r="J17" t="s">
        <v>78</v>
      </c>
      <c r="K17" t="s">
        <v>170</v>
      </c>
      <c r="L17" t="s">
        <v>96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174</v>
      </c>
      <c r="B20" t="s">
        <v>196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197</v>
      </c>
      <c r="I20" t="s">
        <v>29</v>
      </c>
      <c r="J20" t="s">
        <v>78</v>
      </c>
      <c r="K20" t="s">
        <v>170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20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20.454545454545453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191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220</v>
      </c>
      <c r="I23" t="s">
        <v>29</v>
      </c>
      <c r="J23" t="s">
        <v>78</v>
      </c>
      <c r="K23" t="s">
        <v>170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20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20.727272727272727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222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197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20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21</v>
      </c>
      <c r="P27" t="s">
        <v>95</v>
      </c>
      <c r="Q27" s="6">
        <v>38149</v>
      </c>
    </row>
    <row r="28" spans="1:20" x14ac:dyDescent="0.3">
      <c r="P28" t="s">
        <v>96</v>
      </c>
      <c r="Q28" s="6">
        <v>39101</v>
      </c>
    </row>
    <row r="29" spans="1:20" x14ac:dyDescent="0.3">
      <c r="A29" t="s">
        <v>228</v>
      </c>
      <c r="B29" t="s">
        <v>13</v>
      </c>
      <c r="C29" t="s">
        <v>238</v>
      </c>
      <c r="D29" t="s">
        <v>10</v>
      </c>
      <c r="E29" t="s">
        <v>14</v>
      </c>
      <c r="F29" t="s">
        <v>12</v>
      </c>
      <c r="G29" t="s">
        <v>193</v>
      </c>
      <c r="H29" t="s">
        <v>197</v>
      </c>
      <c r="I29" t="s">
        <v>29</v>
      </c>
      <c r="J29" t="s">
        <v>78</v>
      </c>
      <c r="K29" t="s">
        <v>20</v>
      </c>
      <c r="L29" t="s">
        <v>17</v>
      </c>
      <c r="P29" t="s">
        <v>111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20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20.636363636363637</v>
      </c>
      <c r="P30" t="s">
        <v>170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229</v>
      </c>
      <c r="B32" t="s">
        <v>13</v>
      </c>
      <c r="C32" t="s">
        <v>28</v>
      </c>
      <c r="D32" t="s">
        <v>10</v>
      </c>
      <c r="E32" t="s">
        <v>239</v>
      </c>
      <c r="F32" t="s">
        <v>12</v>
      </c>
      <c r="G32" t="s">
        <v>11</v>
      </c>
      <c r="H32" t="s">
        <v>197</v>
      </c>
      <c r="I32" t="s">
        <v>29</v>
      </c>
      <c r="J32" t="s">
        <v>78</v>
      </c>
      <c r="K32" t="s">
        <v>20</v>
      </c>
      <c r="L32" t="s">
        <v>17</v>
      </c>
      <c r="P32" t="s">
        <v>175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20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21</v>
      </c>
      <c r="P33" t="s">
        <v>176</v>
      </c>
      <c r="Q33" s="6">
        <v>38563</v>
      </c>
    </row>
    <row r="34" spans="1:17" x14ac:dyDescent="0.3">
      <c r="P34" t="s">
        <v>192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197</v>
      </c>
      <c r="F35" t="s">
        <v>12</v>
      </c>
      <c r="G35" t="s">
        <v>238</v>
      </c>
      <c r="H35" t="s">
        <v>250</v>
      </c>
      <c r="I35" t="s">
        <v>29</v>
      </c>
      <c r="J35" t="s">
        <v>78</v>
      </c>
      <c r="K35" t="s">
        <v>193</v>
      </c>
      <c r="L35" t="s">
        <v>17</v>
      </c>
      <c r="P35" t="s">
        <v>193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20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20.636363636363637</v>
      </c>
      <c r="P36" t="s">
        <v>197</v>
      </c>
      <c r="Q36" s="6">
        <v>38587</v>
      </c>
    </row>
    <row r="37" spans="1:17" x14ac:dyDescent="0.3">
      <c r="P37" t="s">
        <v>196</v>
      </c>
      <c r="Q37" s="6">
        <v>39590</v>
      </c>
    </row>
    <row r="38" spans="1:17" x14ac:dyDescent="0.3">
      <c r="A38" t="s">
        <v>84</v>
      </c>
      <c r="B38" t="s">
        <v>13</v>
      </c>
      <c r="C38" t="s">
        <v>111</v>
      </c>
      <c r="D38" t="s">
        <v>10</v>
      </c>
      <c r="E38" t="s">
        <v>197</v>
      </c>
      <c r="F38" t="s">
        <v>11</v>
      </c>
      <c r="G38" t="s">
        <v>238</v>
      </c>
      <c r="H38" t="s">
        <v>250</v>
      </c>
      <c r="I38" t="s">
        <v>29</v>
      </c>
      <c r="J38" t="s">
        <v>78</v>
      </c>
      <c r="K38" t="s">
        <v>193</v>
      </c>
      <c r="L38" t="s">
        <v>17</v>
      </c>
      <c r="P38" t="s">
        <v>220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20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20.727272727272727</v>
      </c>
      <c r="P39" t="s">
        <v>20</v>
      </c>
      <c r="Q39" s="6">
        <v>38362</v>
      </c>
    </row>
    <row r="40" spans="1:17" x14ac:dyDescent="0.3">
      <c r="P40" t="s">
        <v>238</v>
      </c>
      <c r="Q40" s="6">
        <v>38650</v>
      </c>
    </row>
    <row r="41" spans="1:17" x14ac:dyDescent="0.3">
      <c r="A41" t="s">
        <v>194</v>
      </c>
      <c r="B41" t="s">
        <v>9</v>
      </c>
      <c r="C41" t="s">
        <v>20</v>
      </c>
      <c r="D41" t="s">
        <v>10</v>
      </c>
      <c r="E41" t="s">
        <v>197</v>
      </c>
      <c r="F41" t="s">
        <v>11</v>
      </c>
      <c r="G41" t="s">
        <v>238</v>
      </c>
      <c r="H41" t="s">
        <v>250</v>
      </c>
      <c r="I41" t="s">
        <v>29</v>
      </c>
      <c r="J41" t="s">
        <v>254</v>
      </c>
      <c r="K41" t="s">
        <v>193</v>
      </c>
      <c r="L41" t="s">
        <v>17</v>
      </c>
      <c r="P41" t="s">
        <v>239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20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20.90909090909091</v>
      </c>
      <c r="P42" t="s">
        <v>250</v>
      </c>
      <c r="Q42" s="6">
        <v>39108</v>
      </c>
    </row>
    <row r="43" spans="1:17" x14ac:dyDescent="0.3">
      <c r="P43" t="s">
        <v>254</v>
      </c>
      <c r="Q43" s="6">
        <v>38417</v>
      </c>
    </row>
    <row r="44" spans="1:17" x14ac:dyDescent="0.3">
      <c r="A44" t="s">
        <v>164</v>
      </c>
      <c r="B44" t="s">
        <v>9</v>
      </c>
      <c r="C44" t="s">
        <v>20</v>
      </c>
      <c r="D44" t="s">
        <v>10</v>
      </c>
      <c r="E44" t="s">
        <v>265</v>
      </c>
      <c r="F44" t="s">
        <v>11</v>
      </c>
      <c r="G44" t="s">
        <v>238</v>
      </c>
      <c r="H44" t="s">
        <v>266</v>
      </c>
      <c r="I44" t="s">
        <v>29</v>
      </c>
      <c r="J44" t="s">
        <v>250</v>
      </c>
      <c r="K44" t="s">
        <v>193</v>
      </c>
      <c r="L44" t="s">
        <v>17</v>
      </c>
      <c r="P44" t="s">
        <v>265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20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21.09090909090909</v>
      </c>
      <c r="P45" t="s">
        <v>266</v>
      </c>
      <c r="Q45" s="6">
        <v>37955</v>
      </c>
    </row>
    <row r="46" spans="1:17" x14ac:dyDescent="0.3">
      <c r="P46" t="s">
        <v>296</v>
      </c>
      <c r="Q46" s="6">
        <v>39276</v>
      </c>
    </row>
    <row r="47" spans="1:17" x14ac:dyDescent="0.3">
      <c r="A47" t="s">
        <v>15</v>
      </c>
      <c r="B47" t="s">
        <v>9</v>
      </c>
      <c r="C47" t="s">
        <v>111</v>
      </c>
      <c r="D47" t="s">
        <v>10</v>
      </c>
      <c r="E47" t="s">
        <v>265</v>
      </c>
      <c r="F47" t="s">
        <v>11</v>
      </c>
      <c r="G47" t="s">
        <v>238</v>
      </c>
      <c r="H47" t="s">
        <v>14</v>
      </c>
      <c r="I47" t="s">
        <v>95</v>
      </c>
      <c r="J47" t="s">
        <v>12</v>
      </c>
      <c r="K47" t="s">
        <v>96</v>
      </c>
      <c r="L47" t="s">
        <v>170</v>
      </c>
      <c r="P47" t="s">
        <v>184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305</v>
      </c>
      <c r="Q48" s="6">
        <v>38795</v>
      </c>
    </row>
    <row r="49" spans="1:17" x14ac:dyDescent="0.3">
      <c r="P49" t="s">
        <v>313</v>
      </c>
      <c r="Q49" s="6">
        <v>38708</v>
      </c>
    </row>
    <row r="50" spans="1:17" x14ac:dyDescent="0.3">
      <c r="A50" t="s">
        <v>112</v>
      </c>
      <c r="B50" t="s">
        <v>9</v>
      </c>
      <c r="C50" t="s">
        <v>111</v>
      </c>
      <c r="D50" t="s">
        <v>10</v>
      </c>
      <c r="E50" t="s">
        <v>265</v>
      </c>
      <c r="F50" t="s">
        <v>296</v>
      </c>
      <c r="G50" t="s">
        <v>238</v>
      </c>
      <c r="H50" t="s">
        <v>14</v>
      </c>
      <c r="I50" t="s">
        <v>95</v>
      </c>
      <c r="J50" t="s">
        <v>12</v>
      </c>
      <c r="K50" t="s">
        <v>96</v>
      </c>
      <c r="L50" t="s">
        <v>170</v>
      </c>
      <c r="P50" t="s">
        <v>314</v>
      </c>
      <c r="Q50" s="6">
        <v>39042</v>
      </c>
    </row>
    <row r="51" spans="1:17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7" x14ac:dyDescent="0.3">
      <c r="A53" t="s">
        <v>33</v>
      </c>
      <c r="B53" t="s">
        <v>9</v>
      </c>
      <c r="C53" t="s">
        <v>192</v>
      </c>
      <c r="D53" t="s">
        <v>10</v>
      </c>
      <c r="E53" t="s">
        <v>265</v>
      </c>
      <c r="F53" t="s">
        <v>305</v>
      </c>
      <c r="G53" t="s">
        <v>184</v>
      </c>
      <c r="H53" t="s">
        <v>14</v>
      </c>
      <c r="I53" t="s">
        <v>95</v>
      </c>
      <c r="J53" t="s">
        <v>12</v>
      </c>
      <c r="K53" t="s">
        <v>193</v>
      </c>
      <c r="L53" t="s">
        <v>170</v>
      </c>
    </row>
    <row r="54" spans="1:17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7" x14ac:dyDescent="0.3">
      <c r="A56" t="s">
        <v>102</v>
      </c>
      <c r="B56" t="s">
        <v>9</v>
      </c>
      <c r="C56" t="s">
        <v>111</v>
      </c>
      <c r="D56" t="s">
        <v>10</v>
      </c>
      <c r="E56" t="s">
        <v>265</v>
      </c>
      <c r="F56" t="s">
        <v>28</v>
      </c>
      <c r="G56" t="s">
        <v>11</v>
      </c>
      <c r="H56" t="s">
        <v>175</v>
      </c>
      <c r="I56" t="s">
        <v>95</v>
      </c>
      <c r="J56" t="s">
        <v>12</v>
      </c>
      <c r="K56" t="s">
        <v>250</v>
      </c>
      <c r="L56" t="s">
        <v>170</v>
      </c>
    </row>
    <row r="57" spans="1:17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  <row r="59" spans="1:17" x14ac:dyDescent="0.3">
      <c r="A59" t="s">
        <v>149</v>
      </c>
      <c r="B59" t="s">
        <v>13</v>
      </c>
      <c r="C59" t="s">
        <v>111</v>
      </c>
      <c r="D59" t="s">
        <v>10</v>
      </c>
      <c r="E59" t="s">
        <v>266</v>
      </c>
      <c r="F59" t="s">
        <v>28</v>
      </c>
      <c r="G59" t="s">
        <v>11</v>
      </c>
      <c r="H59" t="s">
        <v>175</v>
      </c>
      <c r="I59" t="s">
        <v>96</v>
      </c>
      <c r="J59" t="s">
        <v>12</v>
      </c>
      <c r="K59" t="s">
        <v>313</v>
      </c>
      <c r="L59" t="s">
        <v>314</v>
      </c>
    </row>
    <row r="60" spans="1:17" x14ac:dyDescent="0.3">
      <c r="B60">
        <f ca="1">DATEDIF(VLOOKUP(B59,$P$18:$Q$100,2,FALSE),TODAY(),"Y")</f>
        <v>20</v>
      </c>
      <c r="C60">
        <f t="shared" ref="C60:L60" ca="1" si="20">DATEDIF(VLOOKUP(C59,$P$18:$Q$100,2,FALSE),TODAY(),"Y")</f>
        <v>22</v>
      </c>
      <c r="D60">
        <f t="shared" ca="1" si="20"/>
        <v>20</v>
      </c>
      <c r="E60">
        <f t="shared" ca="1" si="20"/>
        <v>22</v>
      </c>
      <c r="F60">
        <f t="shared" ca="1" si="20"/>
        <v>20</v>
      </c>
      <c r="G60">
        <f t="shared" ca="1" si="20"/>
        <v>25</v>
      </c>
      <c r="H60">
        <f t="shared" ca="1" si="20"/>
        <v>21</v>
      </c>
      <c r="I60">
        <f t="shared" ca="1" si="20"/>
        <v>19</v>
      </c>
      <c r="J60">
        <f t="shared" ca="1" si="20"/>
        <v>25</v>
      </c>
      <c r="K60">
        <f t="shared" ca="1" si="20"/>
        <v>20</v>
      </c>
      <c r="L60">
        <f t="shared" ca="1" si="20"/>
        <v>19</v>
      </c>
      <c r="N60" s="1">
        <f ca="1">AVERAGE(B60:L60)</f>
        <v>21.181818181818183</v>
      </c>
    </row>
    <row r="62" spans="1:17" x14ac:dyDescent="0.3">
      <c r="A62" t="s">
        <v>166</v>
      </c>
      <c r="B62" t="s">
        <v>9</v>
      </c>
      <c r="C62" t="s">
        <v>305</v>
      </c>
      <c r="D62" t="s">
        <v>10</v>
      </c>
      <c r="E62" t="s">
        <v>266</v>
      </c>
      <c r="F62" t="s">
        <v>96</v>
      </c>
      <c r="G62" t="s">
        <v>11</v>
      </c>
      <c r="H62" t="s">
        <v>175</v>
      </c>
      <c r="I62" t="s">
        <v>96</v>
      </c>
      <c r="J62" t="s">
        <v>95</v>
      </c>
      <c r="K62" t="s">
        <v>313</v>
      </c>
      <c r="L62" t="s">
        <v>193</v>
      </c>
    </row>
    <row r="63" spans="1:17" x14ac:dyDescent="0.3">
      <c r="B63">
        <f ca="1">DATEDIF(VLOOKUP(B62,$P$18:$Q$100,2,FALSE),TODAY(),"Y")</f>
        <v>24</v>
      </c>
      <c r="C63">
        <f t="shared" ref="C63:L63" ca="1" si="21">DATEDIF(VLOOKUP(C62,$P$18:$Q$100,2,FALSE),TODAY(),"Y")</f>
        <v>20</v>
      </c>
      <c r="D63">
        <f t="shared" ca="1" si="21"/>
        <v>20</v>
      </c>
      <c r="E63">
        <f t="shared" ca="1" si="21"/>
        <v>22</v>
      </c>
      <c r="F63">
        <f t="shared" ca="1" si="21"/>
        <v>19</v>
      </c>
      <c r="G63">
        <f t="shared" ca="1" si="21"/>
        <v>25</v>
      </c>
      <c r="H63">
        <f t="shared" ca="1" si="21"/>
        <v>21</v>
      </c>
      <c r="I63">
        <f t="shared" ca="1" si="21"/>
        <v>19</v>
      </c>
      <c r="J63">
        <f t="shared" ca="1" si="21"/>
        <v>21</v>
      </c>
      <c r="K63">
        <f t="shared" ca="1" si="21"/>
        <v>20</v>
      </c>
      <c r="L63">
        <f t="shared" ca="1" si="21"/>
        <v>21</v>
      </c>
      <c r="N63" s="1">
        <f ca="1">AVERAGE(B63:L63)</f>
        <v>21.09090909090909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5" workbookViewId="0">
      <selection activeCell="L72" sqref="L72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19.450757575757574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97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97</v>
      </c>
      <c r="G5" t="s">
        <v>45</v>
      </c>
      <c r="H5" t="s">
        <v>44</v>
      </c>
      <c r="I5" t="s">
        <v>56</v>
      </c>
      <c r="J5" t="s">
        <v>54</v>
      </c>
      <c r="K5" t="s">
        <v>113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163</v>
      </c>
      <c r="B8" t="s">
        <v>161</v>
      </c>
      <c r="C8" t="s">
        <v>42</v>
      </c>
      <c r="D8" t="s">
        <v>48</v>
      </c>
      <c r="E8" t="s">
        <v>52</v>
      </c>
      <c r="F8" t="s">
        <v>97</v>
      </c>
      <c r="G8" t="s">
        <v>45</v>
      </c>
      <c r="H8" t="s">
        <v>44</v>
      </c>
      <c r="I8" t="s">
        <v>162</v>
      </c>
      <c r="J8" t="s">
        <v>54</v>
      </c>
      <c r="K8" t="s">
        <v>113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161</v>
      </c>
      <c r="C11" t="s">
        <v>42</v>
      </c>
      <c r="D11" t="s">
        <v>172</v>
      </c>
      <c r="E11" t="s">
        <v>52</v>
      </c>
      <c r="F11" t="s">
        <v>97</v>
      </c>
      <c r="G11" t="s">
        <v>45</v>
      </c>
      <c r="H11" t="s">
        <v>44</v>
      </c>
      <c r="I11" t="s">
        <v>162</v>
      </c>
      <c r="J11" t="s">
        <v>54</v>
      </c>
      <c r="K11" t="s">
        <v>113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180</v>
      </c>
      <c r="E14" t="s">
        <v>52</v>
      </c>
      <c r="F14" t="s">
        <v>97</v>
      </c>
      <c r="G14" t="s">
        <v>45</v>
      </c>
      <c r="H14" t="s">
        <v>44</v>
      </c>
      <c r="I14" t="s">
        <v>162</v>
      </c>
      <c r="J14" t="s">
        <v>54</v>
      </c>
      <c r="K14" t="s">
        <v>113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180</v>
      </c>
      <c r="E17" t="s">
        <v>52</v>
      </c>
      <c r="F17" t="s">
        <v>97</v>
      </c>
      <c r="G17" t="s">
        <v>45</v>
      </c>
      <c r="H17" t="s">
        <v>202</v>
      </c>
      <c r="I17" t="s">
        <v>162</v>
      </c>
      <c r="J17" t="s">
        <v>172</v>
      </c>
      <c r="K17" t="s">
        <v>113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153</v>
      </c>
      <c r="B20" t="s">
        <v>47</v>
      </c>
      <c r="C20" t="s">
        <v>56</v>
      </c>
      <c r="D20" t="s">
        <v>42</v>
      </c>
      <c r="E20" t="s">
        <v>52</v>
      </c>
      <c r="F20" t="s">
        <v>97</v>
      </c>
      <c r="G20" t="s">
        <v>45</v>
      </c>
      <c r="H20" t="s">
        <v>217</v>
      </c>
      <c r="I20" t="s">
        <v>162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181</v>
      </c>
      <c r="B23" t="s">
        <v>161</v>
      </c>
      <c r="C23" t="s">
        <v>56</v>
      </c>
      <c r="D23" t="s">
        <v>42</v>
      </c>
      <c r="E23" t="s">
        <v>52</v>
      </c>
      <c r="F23" t="s">
        <v>97</v>
      </c>
      <c r="G23" t="s">
        <v>45</v>
      </c>
      <c r="H23" t="s">
        <v>217</v>
      </c>
      <c r="I23" t="s">
        <v>162</v>
      </c>
      <c r="J23" t="s">
        <v>54</v>
      </c>
      <c r="K23" t="s">
        <v>44</v>
      </c>
      <c r="L23" t="s">
        <v>27</v>
      </c>
      <c r="P23" t="s">
        <v>97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231</v>
      </c>
      <c r="B26" t="s">
        <v>161</v>
      </c>
      <c r="C26" t="s">
        <v>56</v>
      </c>
      <c r="D26" t="s">
        <v>42</v>
      </c>
      <c r="E26" t="s">
        <v>52</v>
      </c>
      <c r="F26" t="s">
        <v>97</v>
      </c>
      <c r="G26" t="s">
        <v>45</v>
      </c>
      <c r="H26" t="s">
        <v>232</v>
      </c>
      <c r="I26" t="s">
        <v>162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177</v>
      </c>
      <c r="B29" t="s">
        <v>161</v>
      </c>
      <c r="C29" t="s">
        <v>180</v>
      </c>
      <c r="D29" t="s">
        <v>42</v>
      </c>
      <c r="E29" t="s">
        <v>52</v>
      </c>
      <c r="F29" t="s">
        <v>97</v>
      </c>
      <c r="G29" t="s">
        <v>45</v>
      </c>
      <c r="H29" t="s">
        <v>232</v>
      </c>
      <c r="I29" t="s">
        <v>162</v>
      </c>
      <c r="J29" t="s">
        <v>54</v>
      </c>
      <c r="K29" t="s">
        <v>44</v>
      </c>
      <c r="L29" t="s">
        <v>243</v>
      </c>
      <c r="P29" t="s">
        <v>113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161</v>
      </c>
      <c r="Q30" s="6">
        <v>38273</v>
      </c>
    </row>
    <row r="31" spans="1:20" x14ac:dyDescent="0.3">
      <c r="P31" t="s">
        <v>162</v>
      </c>
      <c r="Q31" s="6">
        <v>38930</v>
      </c>
    </row>
    <row r="32" spans="1:20" x14ac:dyDescent="0.3">
      <c r="A32" t="s">
        <v>55</v>
      </c>
      <c r="B32" t="s">
        <v>161</v>
      </c>
      <c r="C32" t="s">
        <v>180</v>
      </c>
      <c r="D32" t="s">
        <v>42</v>
      </c>
      <c r="E32" t="s">
        <v>52</v>
      </c>
      <c r="F32" t="s">
        <v>97</v>
      </c>
      <c r="G32" t="s">
        <v>45</v>
      </c>
      <c r="H32" t="s">
        <v>232</v>
      </c>
      <c r="I32" t="s">
        <v>162</v>
      </c>
      <c r="J32" t="s">
        <v>54</v>
      </c>
      <c r="K32" t="s">
        <v>44</v>
      </c>
      <c r="L32" t="s">
        <v>243</v>
      </c>
      <c r="P32" t="s">
        <v>172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180</v>
      </c>
      <c r="Q33" s="6">
        <v>39202</v>
      </c>
    </row>
    <row r="34" spans="1:17" x14ac:dyDescent="0.3">
      <c r="P34" t="s">
        <v>202</v>
      </c>
      <c r="Q34" s="6">
        <v>39235</v>
      </c>
    </row>
    <row r="35" spans="1:17" x14ac:dyDescent="0.3">
      <c r="A35" t="s">
        <v>223</v>
      </c>
      <c r="B35" t="s">
        <v>161</v>
      </c>
      <c r="C35" t="s">
        <v>48</v>
      </c>
      <c r="D35" t="s">
        <v>42</v>
      </c>
      <c r="E35" t="s">
        <v>180</v>
      </c>
      <c r="F35" t="s">
        <v>97</v>
      </c>
      <c r="G35" t="s">
        <v>27</v>
      </c>
      <c r="H35" t="s">
        <v>172</v>
      </c>
      <c r="I35" t="s">
        <v>162</v>
      </c>
      <c r="J35" t="s">
        <v>54</v>
      </c>
      <c r="K35" t="s">
        <v>44</v>
      </c>
      <c r="L35" t="s">
        <v>202</v>
      </c>
      <c r="P35" t="s">
        <v>217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232</v>
      </c>
      <c r="Q36" s="6">
        <v>38377</v>
      </c>
    </row>
    <row r="37" spans="1:17" x14ac:dyDescent="0.3">
      <c r="P37" t="s">
        <v>243</v>
      </c>
      <c r="Q37" s="6">
        <v>38949</v>
      </c>
    </row>
    <row r="38" spans="1:17" x14ac:dyDescent="0.3">
      <c r="A38" t="s">
        <v>109</v>
      </c>
      <c r="B38" t="s">
        <v>47</v>
      </c>
      <c r="C38" t="s">
        <v>48</v>
      </c>
      <c r="D38" t="s">
        <v>42</v>
      </c>
      <c r="E38" t="s">
        <v>180</v>
      </c>
      <c r="F38" t="s">
        <v>97</v>
      </c>
      <c r="G38" t="s">
        <v>243</v>
      </c>
      <c r="H38" t="s">
        <v>172</v>
      </c>
      <c r="I38" t="s">
        <v>162</v>
      </c>
      <c r="J38" t="s">
        <v>54</v>
      </c>
      <c r="K38" t="s">
        <v>44</v>
      </c>
      <c r="L38" t="s">
        <v>45</v>
      </c>
      <c r="P38" t="s">
        <v>268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275</v>
      </c>
      <c r="Q39" s="6">
        <v>39232</v>
      </c>
    </row>
    <row r="40" spans="1:17" x14ac:dyDescent="0.3">
      <c r="P40" t="s">
        <v>288</v>
      </c>
      <c r="Q40" s="6">
        <v>38829</v>
      </c>
    </row>
    <row r="41" spans="1:17" x14ac:dyDescent="0.3">
      <c r="A41" t="s">
        <v>169</v>
      </c>
      <c r="B41" t="s">
        <v>47</v>
      </c>
      <c r="C41" t="s">
        <v>52</v>
      </c>
      <c r="D41" t="s">
        <v>42</v>
      </c>
      <c r="E41" t="s">
        <v>180</v>
      </c>
      <c r="F41" t="s">
        <v>97</v>
      </c>
      <c r="G41" t="s">
        <v>243</v>
      </c>
      <c r="H41" t="s">
        <v>268</v>
      </c>
      <c r="I41" t="s">
        <v>232</v>
      </c>
      <c r="J41" t="s">
        <v>54</v>
      </c>
      <c r="K41" t="s">
        <v>44</v>
      </c>
      <c r="L41" t="s">
        <v>45</v>
      </c>
      <c r="P41" t="s">
        <v>289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292</v>
      </c>
      <c r="Q42" s="6">
        <v>39296</v>
      </c>
    </row>
    <row r="43" spans="1:17" x14ac:dyDescent="0.3">
      <c r="P43" t="s">
        <v>316</v>
      </c>
      <c r="Q43" s="6">
        <v>39596</v>
      </c>
    </row>
    <row r="44" spans="1:17" x14ac:dyDescent="0.3">
      <c r="A44" t="s">
        <v>50</v>
      </c>
      <c r="B44" t="s">
        <v>161</v>
      </c>
      <c r="C44" t="s">
        <v>52</v>
      </c>
      <c r="D44" t="s">
        <v>48</v>
      </c>
      <c r="E44" t="s">
        <v>180</v>
      </c>
      <c r="F44" t="s">
        <v>97</v>
      </c>
      <c r="G44" t="s">
        <v>243</v>
      </c>
      <c r="H44" t="s">
        <v>162</v>
      </c>
      <c r="I44" t="s">
        <v>202</v>
      </c>
      <c r="J44" t="s">
        <v>54</v>
      </c>
      <c r="K44" t="s">
        <v>44</v>
      </c>
      <c r="L44" t="s">
        <v>45</v>
      </c>
      <c r="P44" t="s">
        <v>315</v>
      </c>
      <c r="Q44" s="6">
        <v>39645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161</v>
      </c>
      <c r="C47" t="s">
        <v>52</v>
      </c>
      <c r="D47" t="s">
        <v>48</v>
      </c>
      <c r="E47" t="s">
        <v>180</v>
      </c>
      <c r="F47" t="s">
        <v>97</v>
      </c>
      <c r="G47" t="s">
        <v>243</v>
      </c>
      <c r="H47" t="s">
        <v>162</v>
      </c>
      <c r="I47" t="s">
        <v>202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161</v>
      </c>
      <c r="C50" t="s">
        <v>172</v>
      </c>
      <c r="D50" t="s">
        <v>48</v>
      </c>
      <c r="E50" t="s">
        <v>275</v>
      </c>
      <c r="F50" t="s">
        <v>97</v>
      </c>
      <c r="G50" t="s">
        <v>243</v>
      </c>
      <c r="H50" t="s">
        <v>162</v>
      </c>
      <c r="I50" t="s">
        <v>202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161</v>
      </c>
      <c r="C53" t="s">
        <v>180</v>
      </c>
      <c r="D53" t="s">
        <v>48</v>
      </c>
      <c r="E53" t="s">
        <v>275</v>
      </c>
      <c r="F53" t="s">
        <v>288</v>
      </c>
      <c r="G53" t="s">
        <v>289</v>
      </c>
      <c r="H53" t="s">
        <v>232</v>
      </c>
      <c r="I53" t="s">
        <v>202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163</v>
      </c>
      <c r="B56" t="s">
        <v>161</v>
      </c>
      <c r="C56" t="s">
        <v>180</v>
      </c>
      <c r="D56" t="s">
        <v>52</v>
      </c>
      <c r="E56" t="s">
        <v>275</v>
      </c>
      <c r="F56" t="s">
        <v>288</v>
      </c>
      <c r="G56" t="s">
        <v>289</v>
      </c>
      <c r="H56" t="s">
        <v>292</v>
      </c>
      <c r="I56" t="s">
        <v>202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161</v>
      </c>
      <c r="C59" t="s">
        <v>180</v>
      </c>
      <c r="D59" t="s">
        <v>52</v>
      </c>
      <c r="E59" t="s">
        <v>275</v>
      </c>
      <c r="F59" t="s">
        <v>288</v>
      </c>
      <c r="G59" t="s">
        <v>289</v>
      </c>
      <c r="H59" t="s">
        <v>292</v>
      </c>
      <c r="I59" t="s">
        <v>202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A62" t="s">
        <v>46</v>
      </c>
      <c r="B62" t="s">
        <v>161</v>
      </c>
      <c r="C62" t="s">
        <v>180</v>
      </c>
      <c r="D62" t="s">
        <v>52</v>
      </c>
      <c r="E62" t="s">
        <v>275</v>
      </c>
      <c r="F62" t="s">
        <v>288</v>
      </c>
      <c r="G62" t="s">
        <v>289</v>
      </c>
      <c r="H62" t="s">
        <v>232</v>
      </c>
      <c r="I62" t="s">
        <v>202</v>
      </c>
      <c r="J62" t="s">
        <v>162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17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18.818181818181817</v>
      </c>
      <c r="O63" s="1"/>
    </row>
    <row r="65" spans="1:14" x14ac:dyDescent="0.3">
      <c r="A65" t="s">
        <v>153</v>
      </c>
      <c r="B65" t="s">
        <v>161</v>
      </c>
      <c r="C65" t="s">
        <v>180</v>
      </c>
      <c r="D65" t="s">
        <v>52</v>
      </c>
      <c r="E65" t="s">
        <v>54</v>
      </c>
      <c r="F65" t="s">
        <v>27</v>
      </c>
      <c r="G65" t="s">
        <v>289</v>
      </c>
      <c r="H65" t="s">
        <v>232</v>
      </c>
      <c r="I65" t="s">
        <v>202</v>
      </c>
      <c r="J65" t="s">
        <v>162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18</v>
      </c>
      <c r="F66">
        <f t="shared" ca="1" si="21"/>
        <v>21</v>
      </c>
      <c r="G66">
        <f t="shared" ca="1" si="21"/>
        <v>17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18</v>
      </c>
      <c r="N66" s="1">
        <f ca="1">AVERAGE(B66:M66)</f>
        <v>19</v>
      </c>
    </row>
    <row r="68" spans="1:14" x14ac:dyDescent="0.3">
      <c r="A68" t="s">
        <v>181</v>
      </c>
      <c r="B68" t="s">
        <v>161</v>
      </c>
      <c r="C68" t="s">
        <v>180</v>
      </c>
      <c r="D68" t="s">
        <v>52</v>
      </c>
      <c r="E68" t="s">
        <v>54</v>
      </c>
      <c r="F68" t="s">
        <v>27</v>
      </c>
      <c r="G68" t="s">
        <v>315</v>
      </c>
      <c r="H68" t="s">
        <v>48</v>
      </c>
      <c r="I68" t="s">
        <v>202</v>
      </c>
      <c r="J68" t="s">
        <v>288</v>
      </c>
      <c r="K68" t="s">
        <v>316</v>
      </c>
      <c r="L68" t="s">
        <v>45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18</v>
      </c>
      <c r="D69">
        <f t="shared" ca="1" si="22"/>
        <v>19</v>
      </c>
      <c r="E69">
        <f t="shared" ca="1" si="22"/>
        <v>18</v>
      </c>
      <c r="F69">
        <f t="shared" ca="1" si="22"/>
        <v>21</v>
      </c>
      <c r="G69">
        <f t="shared" ca="1" si="22"/>
        <v>17</v>
      </c>
      <c r="H69">
        <f t="shared" ca="1" si="22"/>
        <v>20</v>
      </c>
      <c r="I69">
        <f t="shared" ca="1" si="22"/>
        <v>18</v>
      </c>
      <c r="J69">
        <f t="shared" ca="1" si="22"/>
        <v>19</v>
      </c>
      <c r="K69">
        <f t="shared" ca="1" si="22"/>
        <v>17</v>
      </c>
      <c r="L69">
        <f t="shared" ca="1" si="22"/>
        <v>18</v>
      </c>
      <c r="N69" s="1">
        <f ca="1">AVERAGE(B69:M69)</f>
        <v>18.727272727272727</v>
      </c>
    </row>
    <row r="71" spans="1:14" x14ac:dyDescent="0.3">
      <c r="A71" t="s">
        <v>231</v>
      </c>
      <c r="B71" t="s">
        <v>161</v>
      </c>
      <c r="C71" t="s">
        <v>180</v>
      </c>
      <c r="D71" t="s">
        <v>52</v>
      </c>
      <c r="E71" t="s">
        <v>54</v>
      </c>
      <c r="F71" t="s">
        <v>268</v>
      </c>
      <c r="G71" t="s">
        <v>289</v>
      </c>
      <c r="H71" t="s">
        <v>162</v>
      </c>
      <c r="I71" t="s">
        <v>44</v>
      </c>
      <c r="J71" t="s">
        <v>288</v>
      </c>
      <c r="K71" t="s">
        <v>232</v>
      </c>
      <c r="L71" t="s">
        <v>42</v>
      </c>
    </row>
    <row r="72" spans="1:14" x14ac:dyDescent="0.3">
      <c r="B72">
        <f ca="1">DATEDIF(VLOOKUP(B71,$P$18:$Q$100,2,FALSE),TODAY(),"Y")</f>
        <v>21</v>
      </c>
      <c r="C72">
        <f t="shared" ref="C72:L72" ca="1" si="23">DATEDIF(VLOOKUP(C71,$P$18:$Q$100,2,FALSE),TODAY(),"Y")</f>
        <v>18</v>
      </c>
      <c r="D72">
        <f t="shared" ca="1" si="23"/>
        <v>19</v>
      </c>
      <c r="E72">
        <f t="shared" ca="1" si="23"/>
        <v>18</v>
      </c>
      <c r="F72">
        <f t="shared" ca="1" si="23"/>
        <v>22</v>
      </c>
      <c r="G72">
        <f t="shared" ca="1" si="23"/>
        <v>17</v>
      </c>
      <c r="H72">
        <f t="shared" ca="1" si="23"/>
        <v>19</v>
      </c>
      <c r="I72">
        <f t="shared" ca="1" si="23"/>
        <v>19</v>
      </c>
      <c r="J72">
        <f t="shared" ca="1" si="23"/>
        <v>19</v>
      </c>
      <c r="K72">
        <f t="shared" ca="1" si="23"/>
        <v>21</v>
      </c>
      <c r="L72">
        <f t="shared" ca="1" si="23"/>
        <v>18</v>
      </c>
      <c r="N72" s="1">
        <f ca="1">AVERAGE(B72:M72)</f>
        <v>19.181818181818183</v>
      </c>
    </row>
    <row r="74" spans="1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40" workbookViewId="0">
      <selection activeCell="D69" sqref="D69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19.490118577075094</v>
      </c>
    </row>
    <row r="2" spans="1:14" x14ac:dyDescent="0.3">
      <c r="A2" t="s">
        <v>55</v>
      </c>
      <c r="B2" t="s">
        <v>98</v>
      </c>
      <c r="C2" t="s">
        <v>62</v>
      </c>
      <c r="D2" t="s">
        <v>73</v>
      </c>
      <c r="E2" t="s">
        <v>63</v>
      </c>
      <c r="F2" t="s">
        <v>99</v>
      </c>
      <c r="G2" t="s">
        <v>100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98</v>
      </c>
      <c r="C5" t="s">
        <v>62</v>
      </c>
      <c r="D5" t="s">
        <v>114</v>
      </c>
      <c r="E5" t="s">
        <v>63</v>
      </c>
      <c r="F5" t="s">
        <v>115</v>
      </c>
      <c r="G5" t="s">
        <v>100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98</v>
      </c>
      <c r="C8" t="s">
        <v>62</v>
      </c>
      <c r="D8" t="s">
        <v>114</v>
      </c>
      <c r="E8" t="s">
        <v>63</v>
      </c>
      <c r="F8" t="s">
        <v>115</v>
      </c>
      <c r="G8" t="s">
        <v>100</v>
      </c>
      <c r="H8" t="s">
        <v>58</v>
      </c>
      <c r="I8" t="s">
        <v>146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169</v>
      </c>
      <c r="B11" t="s">
        <v>224</v>
      </c>
      <c r="C11" t="s">
        <v>62</v>
      </c>
      <c r="D11" t="s">
        <v>114</v>
      </c>
      <c r="E11" t="s">
        <v>63</v>
      </c>
      <c r="F11" t="s">
        <v>115</v>
      </c>
      <c r="G11" t="s">
        <v>100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224</v>
      </c>
      <c r="C14" t="s">
        <v>62</v>
      </c>
      <c r="D14" t="s">
        <v>114</v>
      </c>
      <c r="E14" t="s">
        <v>63</v>
      </c>
      <c r="F14" t="s">
        <v>115</v>
      </c>
      <c r="G14" t="s">
        <v>100</v>
      </c>
      <c r="H14" t="s">
        <v>58</v>
      </c>
      <c r="I14" t="s">
        <v>72</v>
      </c>
      <c r="J14" t="s">
        <v>59</v>
      </c>
      <c r="K14" t="s">
        <v>146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203</v>
      </c>
      <c r="B17" t="s">
        <v>224</v>
      </c>
      <c r="C17" t="s">
        <v>62</v>
      </c>
      <c r="D17" t="s">
        <v>114</v>
      </c>
      <c r="E17" t="s">
        <v>204</v>
      </c>
      <c r="F17" t="s">
        <v>205</v>
      </c>
      <c r="G17" t="s">
        <v>100</v>
      </c>
      <c r="H17" t="s">
        <v>58</v>
      </c>
      <c r="I17" t="s">
        <v>72</v>
      </c>
      <c r="J17" t="s">
        <v>59</v>
      </c>
      <c r="K17" t="s">
        <v>206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98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177</v>
      </c>
      <c r="B20" t="s">
        <v>212</v>
      </c>
      <c r="C20" t="s">
        <v>213</v>
      </c>
      <c r="D20" t="s">
        <v>114</v>
      </c>
      <c r="E20" t="s">
        <v>214</v>
      </c>
      <c r="F20" t="s">
        <v>215</v>
      </c>
      <c r="G20" t="s">
        <v>100</v>
      </c>
      <c r="H20" t="s">
        <v>146</v>
      </c>
      <c r="I20" t="s">
        <v>72</v>
      </c>
      <c r="J20" t="s">
        <v>59</v>
      </c>
      <c r="K20" t="s">
        <v>216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19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19.454545454545453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223</v>
      </c>
      <c r="B23" t="s">
        <v>224</v>
      </c>
      <c r="C23" t="s">
        <v>204</v>
      </c>
      <c r="D23" t="s">
        <v>114</v>
      </c>
      <c r="E23" t="s">
        <v>62</v>
      </c>
      <c r="F23" t="s">
        <v>215</v>
      </c>
      <c r="G23" t="s">
        <v>100</v>
      </c>
      <c r="H23" t="s">
        <v>146</v>
      </c>
      <c r="I23" t="s">
        <v>72</v>
      </c>
      <c r="J23" t="s">
        <v>59</v>
      </c>
      <c r="K23" t="s">
        <v>216</v>
      </c>
      <c r="L23" t="s">
        <v>61</v>
      </c>
      <c r="N23" s="1"/>
      <c r="P23" t="s">
        <v>100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99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98</v>
      </c>
      <c r="C26" t="s">
        <v>99</v>
      </c>
      <c r="D26" t="s">
        <v>114</v>
      </c>
      <c r="E26" t="s">
        <v>58</v>
      </c>
      <c r="F26" t="s">
        <v>213</v>
      </c>
      <c r="G26" t="s">
        <v>100</v>
      </c>
      <c r="H26" t="s">
        <v>146</v>
      </c>
      <c r="I26" t="s">
        <v>72</v>
      </c>
      <c r="J26" t="s">
        <v>59</v>
      </c>
      <c r="K26" t="s">
        <v>216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181</v>
      </c>
      <c r="B29" t="s">
        <v>224</v>
      </c>
      <c r="C29" t="s">
        <v>99</v>
      </c>
      <c r="D29" t="s">
        <v>114</v>
      </c>
      <c r="E29" t="s">
        <v>58</v>
      </c>
      <c r="F29" t="s">
        <v>64</v>
      </c>
      <c r="G29" t="s">
        <v>100</v>
      </c>
      <c r="H29" t="s">
        <v>146</v>
      </c>
      <c r="I29" t="s">
        <v>205</v>
      </c>
      <c r="J29" t="s">
        <v>59</v>
      </c>
      <c r="K29" t="s">
        <v>216</v>
      </c>
      <c r="L29" t="s">
        <v>61</v>
      </c>
      <c r="N29" s="1"/>
      <c r="P29" t="s">
        <v>114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115</v>
      </c>
      <c r="Q30" s="6">
        <v>39117</v>
      </c>
    </row>
    <row r="31" spans="1:20" x14ac:dyDescent="0.3">
      <c r="P31" t="s">
        <v>146</v>
      </c>
      <c r="Q31" s="6">
        <v>39109</v>
      </c>
    </row>
    <row r="32" spans="1:20" x14ac:dyDescent="0.3">
      <c r="A32" t="s">
        <v>60</v>
      </c>
      <c r="B32" t="s">
        <v>224</v>
      </c>
      <c r="C32" t="s">
        <v>213</v>
      </c>
      <c r="D32" t="s">
        <v>114</v>
      </c>
      <c r="E32" t="s">
        <v>58</v>
      </c>
      <c r="F32" t="s">
        <v>64</v>
      </c>
      <c r="G32" t="s">
        <v>100</v>
      </c>
      <c r="H32" t="s">
        <v>146</v>
      </c>
      <c r="I32" t="s">
        <v>246</v>
      </c>
      <c r="J32" t="s">
        <v>59</v>
      </c>
      <c r="K32" t="s">
        <v>216</v>
      </c>
      <c r="L32" t="s">
        <v>62</v>
      </c>
      <c r="N32" s="1"/>
      <c r="P32" t="s">
        <v>224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205</v>
      </c>
      <c r="Q33" s="6">
        <v>38853</v>
      </c>
    </row>
    <row r="34" spans="1:17" x14ac:dyDescent="0.3">
      <c r="P34" t="s">
        <v>206</v>
      </c>
      <c r="Q34" s="6">
        <v>38666</v>
      </c>
    </row>
    <row r="35" spans="1:17" x14ac:dyDescent="0.3">
      <c r="A35" t="s">
        <v>41</v>
      </c>
      <c r="B35" t="s">
        <v>98</v>
      </c>
      <c r="C35" t="s">
        <v>214</v>
      </c>
      <c r="D35" t="s">
        <v>114</v>
      </c>
      <c r="E35" t="s">
        <v>58</v>
      </c>
      <c r="F35" t="s">
        <v>64</v>
      </c>
      <c r="G35" t="s">
        <v>215</v>
      </c>
      <c r="H35" t="s">
        <v>146</v>
      </c>
      <c r="I35" t="s">
        <v>246</v>
      </c>
      <c r="J35" t="s">
        <v>59</v>
      </c>
      <c r="K35" t="s">
        <v>216</v>
      </c>
      <c r="L35" t="s">
        <v>62</v>
      </c>
      <c r="N35" s="1"/>
      <c r="P35" t="s">
        <v>204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19.545454545454547</v>
      </c>
      <c r="P36" t="s">
        <v>212</v>
      </c>
      <c r="Q36" s="6">
        <v>38977</v>
      </c>
    </row>
    <row r="37" spans="1:17" x14ac:dyDescent="0.3">
      <c r="P37" t="s">
        <v>216</v>
      </c>
      <c r="Q37" s="6">
        <v>38815</v>
      </c>
    </row>
    <row r="38" spans="1:17" x14ac:dyDescent="0.3">
      <c r="A38" t="s">
        <v>231</v>
      </c>
      <c r="B38" t="s">
        <v>98</v>
      </c>
      <c r="C38" t="s">
        <v>214</v>
      </c>
      <c r="D38" t="s">
        <v>114</v>
      </c>
      <c r="E38" t="s">
        <v>58</v>
      </c>
      <c r="F38" t="s">
        <v>64</v>
      </c>
      <c r="G38" t="s">
        <v>215</v>
      </c>
      <c r="H38" t="s">
        <v>258</v>
      </c>
      <c r="I38" t="s">
        <v>246</v>
      </c>
      <c r="J38" t="s">
        <v>59</v>
      </c>
      <c r="K38" t="s">
        <v>216</v>
      </c>
      <c r="L38" t="s">
        <v>62</v>
      </c>
      <c r="N38" s="1"/>
      <c r="P38" t="s">
        <v>215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19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19.636363636363637</v>
      </c>
      <c r="P39" t="s">
        <v>213</v>
      </c>
      <c r="Q39" s="6">
        <v>39115</v>
      </c>
    </row>
    <row r="40" spans="1:17" x14ac:dyDescent="0.3">
      <c r="P40" t="s">
        <v>214</v>
      </c>
      <c r="Q40" s="6">
        <v>39179</v>
      </c>
    </row>
    <row r="41" spans="1:17" x14ac:dyDescent="0.3">
      <c r="A41" t="s">
        <v>153</v>
      </c>
      <c r="B41" t="s">
        <v>98</v>
      </c>
      <c r="C41" t="s">
        <v>214</v>
      </c>
      <c r="D41" t="s">
        <v>213</v>
      </c>
      <c r="E41" t="s">
        <v>58</v>
      </c>
      <c r="F41" t="s">
        <v>64</v>
      </c>
      <c r="G41" t="s">
        <v>215</v>
      </c>
      <c r="H41" t="s">
        <v>269</v>
      </c>
      <c r="I41" t="s">
        <v>246</v>
      </c>
      <c r="J41" t="s">
        <v>146</v>
      </c>
      <c r="K41" t="s">
        <v>216</v>
      </c>
      <c r="L41" t="s">
        <v>62</v>
      </c>
      <c r="N41" s="1"/>
      <c r="P41" t="s">
        <v>246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19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19.363636363636363</v>
      </c>
      <c r="P42" t="s">
        <v>258</v>
      </c>
      <c r="Q42" s="6">
        <v>38581</v>
      </c>
    </row>
    <row r="43" spans="1:17" x14ac:dyDescent="0.3">
      <c r="P43" t="s">
        <v>269</v>
      </c>
      <c r="Q43" s="6">
        <v>38932</v>
      </c>
    </row>
    <row r="44" spans="1:17" x14ac:dyDescent="0.3">
      <c r="A44" t="s">
        <v>109</v>
      </c>
      <c r="B44" t="s">
        <v>98</v>
      </c>
      <c r="C44" t="s">
        <v>214</v>
      </c>
      <c r="D44" t="s">
        <v>213</v>
      </c>
      <c r="E44" t="s">
        <v>58</v>
      </c>
      <c r="F44" t="s">
        <v>64</v>
      </c>
      <c r="G44" t="s">
        <v>114</v>
      </c>
      <c r="H44" t="s">
        <v>258</v>
      </c>
      <c r="I44" t="s">
        <v>61</v>
      </c>
      <c r="J44" t="s">
        <v>273</v>
      </c>
      <c r="K44" t="s">
        <v>216</v>
      </c>
      <c r="L44" t="s">
        <v>62</v>
      </c>
      <c r="N44" s="1"/>
      <c r="P44" t="s">
        <v>273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19.727272727272727</v>
      </c>
      <c r="P45" t="s">
        <v>274</v>
      </c>
      <c r="Q45" s="6">
        <v>39186</v>
      </c>
    </row>
    <row r="46" spans="1:17" x14ac:dyDescent="0.3">
      <c r="P46" t="s">
        <v>290</v>
      </c>
      <c r="Q46" s="6">
        <v>39198</v>
      </c>
    </row>
    <row r="47" spans="1:17" x14ac:dyDescent="0.3">
      <c r="A47" t="s">
        <v>55</v>
      </c>
      <c r="B47" t="s">
        <v>224</v>
      </c>
      <c r="C47" t="s">
        <v>214</v>
      </c>
      <c r="D47" t="s">
        <v>215</v>
      </c>
      <c r="E47" t="s">
        <v>58</v>
      </c>
      <c r="F47" t="s">
        <v>64</v>
      </c>
      <c r="G47" t="s">
        <v>114</v>
      </c>
      <c r="H47" t="s">
        <v>146</v>
      </c>
      <c r="I47" t="s">
        <v>61</v>
      </c>
      <c r="J47" t="s">
        <v>59</v>
      </c>
      <c r="K47" t="s">
        <v>216</v>
      </c>
      <c r="L47" t="s">
        <v>62</v>
      </c>
      <c r="N47" s="1"/>
      <c r="P47" t="s">
        <v>295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19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19.545454545454547</v>
      </c>
      <c r="P48" t="s">
        <v>298</v>
      </c>
      <c r="Q48" s="6">
        <v>38070</v>
      </c>
    </row>
    <row r="49" spans="1:17" x14ac:dyDescent="0.3">
      <c r="P49" t="s">
        <v>299</v>
      </c>
      <c r="Q49" s="6">
        <v>38454</v>
      </c>
    </row>
    <row r="50" spans="1:17" x14ac:dyDescent="0.3">
      <c r="A50" t="s">
        <v>49</v>
      </c>
      <c r="B50" t="s">
        <v>98</v>
      </c>
      <c r="C50" t="s">
        <v>214</v>
      </c>
      <c r="D50" t="s">
        <v>258</v>
      </c>
      <c r="E50" t="s">
        <v>58</v>
      </c>
      <c r="F50" t="s">
        <v>64</v>
      </c>
      <c r="G50" t="s">
        <v>114</v>
      </c>
      <c r="H50" t="s">
        <v>213</v>
      </c>
      <c r="I50" t="s">
        <v>61</v>
      </c>
      <c r="J50" t="s">
        <v>274</v>
      </c>
      <c r="K50" t="s">
        <v>216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19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19.454545454545453</v>
      </c>
    </row>
    <row r="53" spans="1:17" x14ac:dyDescent="0.3">
      <c r="A53" t="s">
        <v>169</v>
      </c>
      <c r="B53" t="s">
        <v>224</v>
      </c>
      <c r="C53" t="s">
        <v>214</v>
      </c>
      <c r="D53" t="s">
        <v>73</v>
      </c>
      <c r="E53" t="s">
        <v>58</v>
      </c>
      <c r="F53" t="s">
        <v>64</v>
      </c>
      <c r="G53" t="s">
        <v>290</v>
      </c>
      <c r="H53" t="s">
        <v>100</v>
      </c>
      <c r="I53" t="s">
        <v>273</v>
      </c>
      <c r="J53" t="s">
        <v>146</v>
      </c>
      <c r="K53" t="s">
        <v>216</v>
      </c>
      <c r="L53" t="s">
        <v>204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19.09090909090909</v>
      </c>
    </row>
    <row r="56" spans="1:17" x14ac:dyDescent="0.3">
      <c r="A56" t="s">
        <v>53</v>
      </c>
      <c r="B56" t="s">
        <v>224</v>
      </c>
      <c r="C56" t="s">
        <v>214</v>
      </c>
      <c r="D56" t="s">
        <v>63</v>
      </c>
      <c r="E56" t="s">
        <v>58</v>
      </c>
      <c r="F56" t="s">
        <v>64</v>
      </c>
      <c r="G56" t="s">
        <v>290</v>
      </c>
      <c r="H56" t="s">
        <v>62</v>
      </c>
      <c r="I56" t="s">
        <v>273</v>
      </c>
      <c r="J56" t="s">
        <v>146</v>
      </c>
      <c r="K56" t="s">
        <v>295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19.454545454545453</v>
      </c>
    </row>
    <row r="59" spans="1:17" x14ac:dyDescent="0.3">
      <c r="A59" t="s">
        <v>50</v>
      </c>
      <c r="B59" t="s">
        <v>212</v>
      </c>
      <c r="C59" t="s">
        <v>214</v>
      </c>
      <c r="D59" t="s">
        <v>213</v>
      </c>
      <c r="E59" t="s">
        <v>100</v>
      </c>
      <c r="F59" t="s">
        <v>72</v>
      </c>
      <c r="G59" t="s">
        <v>216</v>
      </c>
      <c r="H59" t="s">
        <v>62</v>
      </c>
      <c r="I59" t="s">
        <v>273</v>
      </c>
      <c r="J59" t="s">
        <v>298</v>
      </c>
      <c r="K59" t="s">
        <v>204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22</v>
      </c>
      <c r="K60">
        <f t="shared" ca="1" si="19"/>
        <v>19</v>
      </c>
      <c r="L60">
        <f t="shared" ca="1" si="19"/>
        <v>20</v>
      </c>
      <c r="N60" s="1">
        <f ca="1">AVERAGE(B60:L60)</f>
        <v>19.636363636363637</v>
      </c>
    </row>
    <row r="62" spans="1:17" x14ac:dyDescent="0.3">
      <c r="A62" t="s">
        <v>163</v>
      </c>
      <c r="B62" t="s">
        <v>224</v>
      </c>
      <c r="C62" t="s">
        <v>214</v>
      </c>
      <c r="D62" t="s">
        <v>213</v>
      </c>
      <c r="E62" t="s">
        <v>100</v>
      </c>
      <c r="F62" t="s">
        <v>290</v>
      </c>
      <c r="G62" t="s">
        <v>216</v>
      </c>
      <c r="H62" t="s">
        <v>299</v>
      </c>
      <c r="I62" t="s">
        <v>64</v>
      </c>
      <c r="J62" t="s">
        <v>298</v>
      </c>
      <c r="K62" t="s">
        <v>204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19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19</v>
      </c>
      <c r="H63">
        <f t="shared" ca="1" si="20"/>
        <v>20</v>
      </c>
      <c r="I63">
        <f t="shared" ca="1" si="20"/>
        <v>19</v>
      </c>
      <c r="J63">
        <f t="shared" ca="1" si="20"/>
        <v>22</v>
      </c>
      <c r="K63">
        <f t="shared" ca="1" si="20"/>
        <v>19</v>
      </c>
      <c r="L63">
        <f t="shared" ca="1" si="20"/>
        <v>20</v>
      </c>
      <c r="N63" s="1">
        <f ca="1">AVERAGE(B63:L63)</f>
        <v>19.363636363636363</v>
      </c>
    </row>
    <row r="65" spans="1:14" x14ac:dyDescent="0.3">
      <c r="A65" t="s">
        <v>177</v>
      </c>
      <c r="B65" t="s">
        <v>224</v>
      </c>
      <c r="C65" t="s">
        <v>214</v>
      </c>
      <c r="D65" t="s">
        <v>213</v>
      </c>
      <c r="E65" t="s">
        <v>100</v>
      </c>
      <c r="F65" t="s">
        <v>290</v>
      </c>
      <c r="G65" t="s">
        <v>216</v>
      </c>
      <c r="H65" t="s">
        <v>62</v>
      </c>
      <c r="I65" t="s">
        <v>64</v>
      </c>
      <c r="J65" t="s">
        <v>146</v>
      </c>
      <c r="K65" t="s">
        <v>273</v>
      </c>
      <c r="L65" t="s">
        <v>61</v>
      </c>
      <c r="N65" s="1"/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19</v>
      </c>
      <c r="D66">
        <f t="shared" ca="1" si="21"/>
        <v>19</v>
      </c>
      <c r="E66">
        <f t="shared" ca="1" si="21"/>
        <v>20</v>
      </c>
      <c r="F66">
        <f t="shared" ca="1" si="21"/>
        <v>18</v>
      </c>
      <c r="G66">
        <f t="shared" ca="1" si="21"/>
        <v>19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19.272727272727273</v>
      </c>
    </row>
    <row r="68" spans="1:14" x14ac:dyDescent="0.3">
      <c r="A68" t="s">
        <v>46</v>
      </c>
      <c r="B68" t="s">
        <v>212</v>
      </c>
      <c r="C68" t="s">
        <v>214</v>
      </c>
      <c r="D68" t="s">
        <v>246</v>
      </c>
      <c r="E68" t="s">
        <v>100</v>
      </c>
      <c r="F68" t="s">
        <v>290</v>
      </c>
      <c r="G68" t="s">
        <v>63</v>
      </c>
      <c r="H68" t="s">
        <v>62</v>
      </c>
      <c r="I68" t="s">
        <v>59</v>
      </c>
      <c r="J68" t="s">
        <v>206</v>
      </c>
      <c r="K68" t="s">
        <v>273</v>
      </c>
      <c r="L68" t="s">
        <v>61</v>
      </c>
      <c r="N68" s="1"/>
    </row>
    <row r="69" spans="1:14" x14ac:dyDescent="0.3">
      <c r="B69">
        <f ca="1">DATEDIF(VLOOKUP(B68,$P$18:$Q$100,2,FALSE),TODAY(),"Y")</f>
        <v>19</v>
      </c>
      <c r="C69">
        <f t="shared" ref="C69:L69" ca="1" si="22">DATEDIF(VLOOKUP(C68,$P$18:$Q$100,2,FALSE),TODAY(),"Y")</f>
        <v>19</v>
      </c>
      <c r="D69">
        <f t="shared" ca="1" si="22"/>
        <v>19</v>
      </c>
      <c r="E69">
        <f t="shared" ca="1" si="22"/>
        <v>20</v>
      </c>
      <c r="F69">
        <f t="shared" ca="1" si="22"/>
        <v>18</v>
      </c>
      <c r="G69">
        <f t="shared" ca="1" si="22"/>
        <v>21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21</v>
      </c>
      <c r="L69">
        <f t="shared" ca="1" si="22"/>
        <v>20</v>
      </c>
      <c r="N69" s="1">
        <f ca="1">AVERAGE(B69:L69)</f>
        <v>19.636363636363637</v>
      </c>
    </row>
    <row r="71" spans="1:14" x14ac:dyDescent="0.3">
      <c r="N71" s="1"/>
    </row>
    <row r="72" spans="1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48" workbookViewId="0">
      <selection activeCell="E72" sqref="E72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20.844696969696972</v>
      </c>
    </row>
    <row r="2" spans="1:14" x14ac:dyDescent="0.3">
      <c r="A2" t="s">
        <v>46</v>
      </c>
      <c r="B2" t="s">
        <v>67</v>
      </c>
      <c r="C2" t="s">
        <v>66</v>
      </c>
      <c r="D2" t="s">
        <v>101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223</v>
      </c>
      <c r="B5" t="s">
        <v>116</v>
      </c>
      <c r="C5" t="s">
        <v>66</v>
      </c>
      <c r="D5" t="s">
        <v>101</v>
      </c>
      <c r="E5" t="s">
        <v>117</v>
      </c>
      <c r="F5" t="s">
        <v>69</v>
      </c>
      <c r="G5" t="s">
        <v>57</v>
      </c>
      <c r="H5" t="s">
        <v>76</v>
      </c>
      <c r="I5" t="s">
        <v>65</v>
      </c>
      <c r="J5" t="s">
        <v>118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20.545454545454547</v>
      </c>
    </row>
    <row r="8" spans="1:14" x14ac:dyDescent="0.3">
      <c r="A8" t="s">
        <v>51</v>
      </c>
      <c r="B8" t="s">
        <v>116</v>
      </c>
      <c r="C8" t="s">
        <v>66</v>
      </c>
      <c r="D8" t="s">
        <v>101</v>
      </c>
      <c r="E8" t="s">
        <v>18</v>
      </c>
      <c r="F8" t="s">
        <v>147</v>
      </c>
      <c r="G8" t="s">
        <v>57</v>
      </c>
      <c r="H8" t="s">
        <v>76</v>
      </c>
      <c r="I8" t="s">
        <v>65</v>
      </c>
      <c r="J8" t="s">
        <v>148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20.363636363636363</v>
      </c>
    </row>
    <row r="11" spans="1:14" x14ac:dyDescent="0.3">
      <c r="A11" t="s">
        <v>50</v>
      </c>
      <c r="B11" t="s">
        <v>116</v>
      </c>
      <c r="C11" t="s">
        <v>66</v>
      </c>
      <c r="D11" t="s">
        <v>101</v>
      </c>
      <c r="E11" t="s">
        <v>18</v>
      </c>
      <c r="F11" t="s">
        <v>68</v>
      </c>
      <c r="G11" t="s">
        <v>57</v>
      </c>
      <c r="H11" t="s">
        <v>173</v>
      </c>
      <c r="I11" t="s">
        <v>65</v>
      </c>
      <c r="J11" t="s">
        <v>117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20.545454545454547</v>
      </c>
    </row>
    <row r="14" spans="1:14" x14ac:dyDescent="0.3">
      <c r="A14" t="s">
        <v>181</v>
      </c>
      <c r="B14" t="s">
        <v>116</v>
      </c>
      <c r="C14" t="s">
        <v>66</v>
      </c>
      <c r="D14" t="s">
        <v>101</v>
      </c>
      <c r="E14" t="s">
        <v>182</v>
      </c>
      <c r="F14" t="s">
        <v>68</v>
      </c>
      <c r="G14" t="s">
        <v>57</v>
      </c>
      <c r="H14" t="s">
        <v>183</v>
      </c>
      <c r="I14" t="s">
        <v>76</v>
      </c>
      <c r="J14" t="s">
        <v>184</v>
      </c>
      <c r="K14" t="s">
        <v>185</v>
      </c>
      <c r="L14" t="s">
        <v>70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20.181818181818183</v>
      </c>
    </row>
    <row r="17" spans="1:20" x14ac:dyDescent="0.3">
      <c r="A17" t="s">
        <v>55</v>
      </c>
      <c r="B17" t="s">
        <v>116</v>
      </c>
      <c r="C17" t="s">
        <v>147</v>
      </c>
      <c r="D17" t="s">
        <v>101</v>
      </c>
      <c r="E17" t="s">
        <v>182</v>
      </c>
      <c r="F17" t="s">
        <v>68</v>
      </c>
      <c r="G17" t="s">
        <v>74</v>
      </c>
      <c r="H17" t="s">
        <v>173</v>
      </c>
      <c r="I17" t="s">
        <v>76</v>
      </c>
      <c r="J17" t="s">
        <v>200</v>
      </c>
      <c r="K17" t="s">
        <v>201</v>
      </c>
      <c r="L17" t="s">
        <v>70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20.363636363636363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116</v>
      </c>
      <c r="C20" t="s">
        <v>185</v>
      </c>
      <c r="D20" t="s">
        <v>18</v>
      </c>
      <c r="E20" t="s">
        <v>65</v>
      </c>
      <c r="F20" t="s">
        <v>68</v>
      </c>
      <c r="G20" t="s">
        <v>74</v>
      </c>
      <c r="H20" t="s">
        <v>173</v>
      </c>
      <c r="I20" t="s">
        <v>148</v>
      </c>
      <c r="J20" t="s">
        <v>66</v>
      </c>
      <c r="K20" t="s">
        <v>201</v>
      </c>
      <c r="L20" t="s">
        <v>70</v>
      </c>
      <c r="N20" s="1"/>
      <c r="P20" t="s">
        <v>101</v>
      </c>
      <c r="Q20" s="6">
        <v>36322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21.272727272727273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116</v>
      </c>
      <c r="C23" t="s">
        <v>200</v>
      </c>
      <c r="D23" t="s">
        <v>18</v>
      </c>
      <c r="E23" t="s">
        <v>65</v>
      </c>
      <c r="F23" t="s">
        <v>68</v>
      </c>
      <c r="G23" t="s">
        <v>182</v>
      </c>
      <c r="H23" t="s">
        <v>225</v>
      </c>
      <c r="I23" t="s">
        <v>76</v>
      </c>
      <c r="J23" t="s">
        <v>66</v>
      </c>
      <c r="K23" t="s">
        <v>201</v>
      </c>
      <c r="L23" t="s">
        <v>101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20.90909090909091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116</v>
      </c>
      <c r="C26" t="s">
        <v>185</v>
      </c>
      <c r="D26" t="s">
        <v>18</v>
      </c>
      <c r="E26" t="s">
        <v>65</v>
      </c>
      <c r="F26" t="s">
        <v>68</v>
      </c>
      <c r="G26" t="s">
        <v>182</v>
      </c>
      <c r="H26" t="s">
        <v>225</v>
      </c>
      <c r="I26" t="s">
        <v>74</v>
      </c>
      <c r="J26" t="s">
        <v>66</v>
      </c>
      <c r="K26" t="s">
        <v>201</v>
      </c>
      <c r="L26" t="s">
        <v>101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21.636363636363637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169</v>
      </c>
      <c r="B29" t="s">
        <v>116</v>
      </c>
      <c r="C29" t="s">
        <v>200</v>
      </c>
      <c r="D29" t="s">
        <v>18</v>
      </c>
      <c r="E29" t="s">
        <v>65</v>
      </c>
      <c r="F29" t="s">
        <v>68</v>
      </c>
      <c r="G29" t="s">
        <v>76</v>
      </c>
      <c r="H29" t="s">
        <v>225</v>
      </c>
      <c r="I29" t="s">
        <v>57</v>
      </c>
      <c r="J29" t="s">
        <v>66</v>
      </c>
      <c r="K29" t="s">
        <v>201</v>
      </c>
      <c r="L29" t="s">
        <v>101</v>
      </c>
      <c r="N29" s="1"/>
      <c r="P29" t="s">
        <v>117</v>
      </c>
      <c r="Q29" s="6">
        <v>39243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21</v>
      </c>
      <c r="P30" t="s">
        <v>118</v>
      </c>
      <c r="Q30" s="6">
        <v>36567</v>
      </c>
    </row>
    <row r="31" spans="1:20" x14ac:dyDescent="0.3">
      <c r="P31" t="s">
        <v>116</v>
      </c>
      <c r="Q31" s="6">
        <v>38803</v>
      </c>
    </row>
    <row r="32" spans="1:20" x14ac:dyDescent="0.3">
      <c r="A32" t="s">
        <v>109</v>
      </c>
      <c r="B32" t="s">
        <v>116</v>
      </c>
      <c r="C32" t="s">
        <v>200</v>
      </c>
      <c r="D32" t="s">
        <v>18</v>
      </c>
      <c r="E32" t="s">
        <v>74</v>
      </c>
      <c r="F32" t="s">
        <v>183</v>
      </c>
      <c r="G32" t="s">
        <v>76</v>
      </c>
      <c r="H32" t="s">
        <v>173</v>
      </c>
      <c r="I32" t="s">
        <v>57</v>
      </c>
      <c r="J32" t="s">
        <v>66</v>
      </c>
      <c r="K32" t="s">
        <v>201</v>
      </c>
      <c r="L32" t="s">
        <v>101</v>
      </c>
      <c r="N32" s="1"/>
      <c r="P32" t="s">
        <v>147</v>
      </c>
      <c r="Q32" s="6">
        <v>39050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20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21.09090909090909</v>
      </c>
      <c r="P33" t="s">
        <v>148</v>
      </c>
      <c r="Q33" s="6">
        <v>38469</v>
      </c>
    </row>
    <row r="34" spans="1:17" x14ac:dyDescent="0.3">
      <c r="P34" t="s">
        <v>173</v>
      </c>
      <c r="Q34" s="6">
        <v>38419</v>
      </c>
    </row>
    <row r="35" spans="1:17" x14ac:dyDescent="0.3">
      <c r="A35" t="s">
        <v>50</v>
      </c>
      <c r="B35" t="s">
        <v>116</v>
      </c>
      <c r="C35" t="s">
        <v>200</v>
      </c>
      <c r="D35" t="s">
        <v>18</v>
      </c>
      <c r="E35" t="s">
        <v>74</v>
      </c>
      <c r="F35" t="s">
        <v>183</v>
      </c>
      <c r="G35" t="s">
        <v>76</v>
      </c>
      <c r="H35" t="s">
        <v>173</v>
      </c>
      <c r="I35" t="s">
        <v>57</v>
      </c>
      <c r="J35" t="s">
        <v>66</v>
      </c>
      <c r="K35" t="s">
        <v>201</v>
      </c>
      <c r="L35" t="s">
        <v>101</v>
      </c>
      <c r="N35" s="1"/>
      <c r="P35" t="s">
        <v>182</v>
      </c>
      <c r="Q35" s="6">
        <v>38919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20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21.09090909090909</v>
      </c>
      <c r="P36" t="s">
        <v>183</v>
      </c>
      <c r="Q36" s="6">
        <v>38799</v>
      </c>
    </row>
    <row r="37" spans="1:17" x14ac:dyDescent="0.3">
      <c r="P37" t="s">
        <v>184</v>
      </c>
      <c r="Q37" s="6">
        <v>39609</v>
      </c>
    </row>
    <row r="38" spans="1:17" x14ac:dyDescent="0.3">
      <c r="A38" t="s">
        <v>153</v>
      </c>
      <c r="B38" t="s">
        <v>255</v>
      </c>
      <c r="C38" t="s">
        <v>147</v>
      </c>
      <c r="D38" t="s">
        <v>18</v>
      </c>
      <c r="E38" t="s">
        <v>74</v>
      </c>
      <c r="F38" t="s">
        <v>183</v>
      </c>
      <c r="G38" t="s">
        <v>148</v>
      </c>
      <c r="H38" t="s">
        <v>70</v>
      </c>
      <c r="I38" t="s">
        <v>57</v>
      </c>
      <c r="J38" t="s">
        <v>66</v>
      </c>
      <c r="K38" t="s">
        <v>201</v>
      </c>
      <c r="L38" t="s">
        <v>101</v>
      </c>
      <c r="N38" s="1"/>
      <c r="P38" t="s">
        <v>185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20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21.181818181818183</v>
      </c>
      <c r="P39" t="s">
        <v>200</v>
      </c>
      <c r="Q39" s="6">
        <v>38783</v>
      </c>
    </row>
    <row r="40" spans="1:17" x14ac:dyDescent="0.3">
      <c r="P40" t="s">
        <v>201</v>
      </c>
      <c r="Q40" s="6">
        <v>36576</v>
      </c>
    </row>
    <row r="41" spans="1:17" x14ac:dyDescent="0.3">
      <c r="A41" t="s">
        <v>163</v>
      </c>
      <c r="B41" t="s">
        <v>255</v>
      </c>
      <c r="C41" t="s">
        <v>147</v>
      </c>
      <c r="D41" t="s">
        <v>18</v>
      </c>
      <c r="E41" t="s">
        <v>74</v>
      </c>
      <c r="F41" t="s">
        <v>183</v>
      </c>
      <c r="G41" t="s">
        <v>173</v>
      </c>
      <c r="H41" t="s">
        <v>261</v>
      </c>
      <c r="I41" t="s">
        <v>117</v>
      </c>
      <c r="J41" t="s">
        <v>66</v>
      </c>
      <c r="K41" t="s">
        <v>201</v>
      </c>
      <c r="L41" t="s">
        <v>101</v>
      </c>
      <c r="N41" s="1"/>
      <c r="P41" t="s">
        <v>225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20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21.818181818181817</v>
      </c>
      <c r="P42" t="s">
        <v>255</v>
      </c>
      <c r="Q42" s="6">
        <v>37995</v>
      </c>
    </row>
    <row r="43" spans="1:17" x14ac:dyDescent="0.3">
      <c r="P43" t="s">
        <v>261</v>
      </c>
      <c r="Q43" s="6">
        <v>36554</v>
      </c>
    </row>
    <row r="44" spans="1:17" x14ac:dyDescent="0.3">
      <c r="A44" t="s">
        <v>177</v>
      </c>
      <c r="B44" t="s">
        <v>255</v>
      </c>
      <c r="C44" t="s">
        <v>147</v>
      </c>
      <c r="D44" t="s">
        <v>18</v>
      </c>
      <c r="E44" t="s">
        <v>74</v>
      </c>
      <c r="F44" t="s">
        <v>183</v>
      </c>
      <c r="G44" t="s">
        <v>182</v>
      </c>
      <c r="H44" t="s">
        <v>272</v>
      </c>
      <c r="I44" t="s">
        <v>117</v>
      </c>
      <c r="J44" t="s">
        <v>66</v>
      </c>
      <c r="K44" t="s">
        <v>148</v>
      </c>
      <c r="L44" t="s">
        <v>101</v>
      </c>
      <c r="N44" s="1"/>
      <c r="P44" t="s">
        <v>272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20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20.636363636363637</v>
      </c>
      <c r="P45" t="s">
        <v>291</v>
      </c>
      <c r="Q45" s="6">
        <v>39164</v>
      </c>
    </row>
    <row r="46" spans="1:17" x14ac:dyDescent="0.3">
      <c r="P46" t="s">
        <v>294</v>
      </c>
      <c r="Q46" s="6">
        <v>39069</v>
      </c>
    </row>
    <row r="47" spans="1:17" x14ac:dyDescent="0.3">
      <c r="A47" t="s">
        <v>49</v>
      </c>
      <c r="B47" t="s">
        <v>255</v>
      </c>
      <c r="C47" t="s">
        <v>147</v>
      </c>
      <c r="D47" t="s">
        <v>18</v>
      </c>
      <c r="E47" t="s">
        <v>74</v>
      </c>
      <c r="F47" t="s">
        <v>183</v>
      </c>
      <c r="G47" t="s">
        <v>201</v>
      </c>
      <c r="H47" t="s">
        <v>57</v>
      </c>
      <c r="I47" t="s">
        <v>117</v>
      </c>
      <c r="J47" t="s">
        <v>66</v>
      </c>
      <c r="K47" t="s">
        <v>225</v>
      </c>
      <c r="L47" t="s">
        <v>101</v>
      </c>
      <c r="N47" s="1"/>
      <c r="P47" t="s">
        <v>297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20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21</v>
      </c>
      <c r="P48" t="s">
        <v>308</v>
      </c>
      <c r="Q48" s="6">
        <v>39860</v>
      </c>
    </row>
    <row r="50" spans="1:14" x14ac:dyDescent="0.3">
      <c r="A50" t="s">
        <v>46</v>
      </c>
      <c r="B50" t="s">
        <v>255</v>
      </c>
      <c r="C50" t="s">
        <v>147</v>
      </c>
      <c r="D50" t="s">
        <v>182</v>
      </c>
      <c r="E50" t="s">
        <v>74</v>
      </c>
      <c r="F50" t="s">
        <v>183</v>
      </c>
      <c r="G50" t="s">
        <v>201</v>
      </c>
      <c r="H50" t="s">
        <v>200</v>
      </c>
      <c r="I50" t="s">
        <v>117</v>
      </c>
      <c r="J50" t="s">
        <v>66</v>
      </c>
      <c r="K50" t="s">
        <v>225</v>
      </c>
      <c r="L50" t="s">
        <v>101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20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20.636363636363637</v>
      </c>
    </row>
    <row r="53" spans="1:14" x14ac:dyDescent="0.3">
      <c r="A53" t="s">
        <v>231</v>
      </c>
      <c r="B53" t="s">
        <v>291</v>
      </c>
      <c r="C53" t="s">
        <v>147</v>
      </c>
      <c r="D53" t="s">
        <v>18</v>
      </c>
      <c r="E53" t="s">
        <v>74</v>
      </c>
      <c r="F53" t="s">
        <v>183</v>
      </c>
      <c r="G53" t="s">
        <v>201</v>
      </c>
      <c r="H53" t="s">
        <v>57</v>
      </c>
      <c r="I53" t="s">
        <v>117</v>
      </c>
      <c r="J53" t="s">
        <v>66</v>
      </c>
      <c r="K53" t="s">
        <v>225</v>
      </c>
      <c r="L53" t="s">
        <v>101</v>
      </c>
      <c r="N53" s="1"/>
    </row>
    <row r="54" spans="1:14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20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20.727272727272727</v>
      </c>
    </row>
    <row r="56" spans="1:14" x14ac:dyDescent="0.3">
      <c r="A56" t="s">
        <v>181</v>
      </c>
      <c r="B56" t="s">
        <v>291</v>
      </c>
      <c r="C56" t="s">
        <v>294</v>
      </c>
      <c r="D56" t="s">
        <v>18</v>
      </c>
      <c r="E56" t="s">
        <v>74</v>
      </c>
      <c r="F56" t="s">
        <v>65</v>
      </c>
      <c r="G56" t="s">
        <v>201</v>
      </c>
      <c r="H56" t="s">
        <v>57</v>
      </c>
      <c r="I56" t="s">
        <v>117</v>
      </c>
      <c r="J56" t="s">
        <v>66</v>
      </c>
      <c r="K56" t="s">
        <v>225</v>
      </c>
      <c r="L56" t="s">
        <v>101</v>
      </c>
      <c r="N56" s="1"/>
    </row>
    <row r="57" spans="1:14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20.90909090909091</v>
      </c>
    </row>
    <row r="59" spans="1:14" x14ac:dyDescent="0.3">
      <c r="A59" t="s">
        <v>51</v>
      </c>
      <c r="B59" t="s">
        <v>291</v>
      </c>
      <c r="C59" t="s">
        <v>147</v>
      </c>
      <c r="D59" t="s">
        <v>18</v>
      </c>
      <c r="E59" t="s">
        <v>74</v>
      </c>
      <c r="F59" t="s">
        <v>182</v>
      </c>
      <c r="G59" t="s">
        <v>201</v>
      </c>
      <c r="H59" t="s">
        <v>57</v>
      </c>
      <c r="I59" t="s">
        <v>117</v>
      </c>
      <c r="J59" t="s">
        <v>66</v>
      </c>
      <c r="K59" t="s">
        <v>297</v>
      </c>
      <c r="L59" t="s">
        <v>101</v>
      </c>
      <c r="N59" s="1"/>
    </row>
    <row r="60" spans="1:14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20.818181818181817</v>
      </c>
    </row>
    <row r="62" spans="1:14" x14ac:dyDescent="0.3">
      <c r="A62" t="s">
        <v>55</v>
      </c>
      <c r="B62" t="s">
        <v>291</v>
      </c>
      <c r="C62" t="s">
        <v>294</v>
      </c>
      <c r="D62" t="s">
        <v>18</v>
      </c>
      <c r="E62" t="s">
        <v>74</v>
      </c>
      <c r="F62" t="s">
        <v>65</v>
      </c>
      <c r="G62" t="s">
        <v>201</v>
      </c>
      <c r="H62" t="s">
        <v>57</v>
      </c>
      <c r="I62" t="s">
        <v>117</v>
      </c>
      <c r="J62" t="s">
        <v>66</v>
      </c>
      <c r="K62" t="s">
        <v>225</v>
      </c>
      <c r="L62" t="s">
        <v>101</v>
      </c>
      <c r="N62" s="1"/>
    </row>
    <row r="63" spans="1:14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20.90909090909091</v>
      </c>
    </row>
    <row r="65" spans="1:14" x14ac:dyDescent="0.3">
      <c r="A65" t="s">
        <v>41</v>
      </c>
      <c r="B65" t="s">
        <v>116</v>
      </c>
      <c r="C65" t="s">
        <v>294</v>
      </c>
      <c r="D65" t="s">
        <v>18</v>
      </c>
      <c r="E65" t="s">
        <v>74</v>
      </c>
      <c r="F65" t="s">
        <v>65</v>
      </c>
      <c r="G65" t="s">
        <v>201</v>
      </c>
      <c r="H65" t="s">
        <v>57</v>
      </c>
      <c r="I65" t="s">
        <v>117</v>
      </c>
      <c r="J65" t="s">
        <v>66</v>
      </c>
      <c r="K65" t="s">
        <v>308</v>
      </c>
      <c r="L65" t="s">
        <v>101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20.90909090909091</v>
      </c>
    </row>
    <row r="68" spans="1:14" x14ac:dyDescent="0.3">
      <c r="A68" t="s">
        <v>60</v>
      </c>
      <c r="B68" t="s">
        <v>116</v>
      </c>
      <c r="C68" t="s">
        <v>294</v>
      </c>
      <c r="D68" t="s">
        <v>18</v>
      </c>
      <c r="E68" t="s">
        <v>74</v>
      </c>
      <c r="F68" t="s">
        <v>65</v>
      </c>
      <c r="G68" t="s">
        <v>201</v>
      </c>
      <c r="H68" t="s">
        <v>57</v>
      </c>
      <c r="I68" t="s">
        <v>68</v>
      </c>
      <c r="J68" t="s">
        <v>66</v>
      </c>
      <c r="K68" t="s">
        <v>225</v>
      </c>
      <c r="L68" t="s">
        <v>101</v>
      </c>
      <c r="N68" s="1"/>
    </row>
    <row r="69" spans="1:14" x14ac:dyDescent="0.3">
      <c r="B69">
        <f ca="1">DATEDIF(VLOOKUP(B68,$P$18:$Q$100,2,FALSE),TODAY(),"Y")</f>
        <v>20</v>
      </c>
      <c r="C69">
        <f t="shared" ref="C69:L69" ca="1" si="22">DATEDIF(VLOOKUP(C68,$P$18:$Q$100,2,FALSE),TODAY(),"Y")</f>
        <v>19</v>
      </c>
      <c r="D69">
        <f t="shared" ca="1" si="22"/>
        <v>23</v>
      </c>
      <c r="E69">
        <f t="shared" ca="1" si="22"/>
        <v>19</v>
      </c>
      <c r="F69">
        <f t="shared" ca="1" si="22"/>
        <v>22</v>
      </c>
      <c r="G69">
        <f t="shared" ca="1" si="22"/>
        <v>26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18</v>
      </c>
      <c r="L69">
        <f t="shared" ca="1" si="22"/>
        <v>26</v>
      </c>
      <c r="N69" s="1">
        <f ca="1">AVERAGE(B69:M69)</f>
        <v>21.09090909090909</v>
      </c>
    </row>
    <row r="71" spans="1:14" x14ac:dyDescent="0.3">
      <c r="A71" t="s">
        <v>53</v>
      </c>
      <c r="B71" t="s">
        <v>116</v>
      </c>
      <c r="C71" t="s">
        <v>294</v>
      </c>
      <c r="D71" t="s">
        <v>18</v>
      </c>
      <c r="E71" t="s">
        <v>117</v>
      </c>
      <c r="F71" t="s">
        <v>184</v>
      </c>
      <c r="G71" t="s">
        <v>201</v>
      </c>
      <c r="H71" t="s">
        <v>308</v>
      </c>
      <c r="I71" t="s">
        <v>68</v>
      </c>
      <c r="J71" t="s">
        <v>66</v>
      </c>
      <c r="K71" t="s">
        <v>182</v>
      </c>
      <c r="L71" t="s">
        <v>101</v>
      </c>
      <c r="N71" s="1"/>
    </row>
    <row r="72" spans="1:14" x14ac:dyDescent="0.3">
      <c r="B72">
        <f ca="1">DATEDIF(VLOOKUP(B71,$P$18:$Q$100,2,FALSE),TODAY(),"Y")</f>
        <v>20</v>
      </c>
      <c r="C72">
        <f t="shared" ref="C72:L72" ca="1" si="23">DATEDIF(VLOOKUP(C71,$P$18:$Q$100,2,FALSE),TODAY(),"Y")</f>
        <v>19</v>
      </c>
      <c r="D72">
        <f t="shared" ca="1" si="23"/>
        <v>23</v>
      </c>
      <c r="E72">
        <f t="shared" ca="1" si="23"/>
        <v>18</v>
      </c>
      <c r="F72">
        <f t="shared" ca="1" si="23"/>
        <v>17</v>
      </c>
      <c r="G72">
        <f t="shared" ca="1" si="23"/>
        <v>26</v>
      </c>
      <c r="H72">
        <f t="shared" ca="1" si="23"/>
        <v>17</v>
      </c>
      <c r="I72">
        <f t="shared" ca="1" si="23"/>
        <v>19</v>
      </c>
      <c r="J72">
        <f t="shared" ca="1" si="23"/>
        <v>20</v>
      </c>
      <c r="K72">
        <f t="shared" ca="1" si="23"/>
        <v>19</v>
      </c>
      <c r="L72">
        <f t="shared" ca="1" si="23"/>
        <v>26</v>
      </c>
      <c r="N72" s="1">
        <f ca="1">AVERAGE(B72:M72)</f>
        <v>20.363636363636363</v>
      </c>
    </row>
    <row r="74" spans="1:14" x14ac:dyDescent="0.3">
      <c r="N74" s="1"/>
    </row>
    <row r="75" spans="1:14" x14ac:dyDescent="0.3">
      <c r="N75" s="1"/>
    </row>
    <row r="77" spans="1:14" x14ac:dyDescent="0.3">
      <c r="N77" s="1"/>
    </row>
    <row r="78" spans="1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2026-04-07T07:06:18Z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