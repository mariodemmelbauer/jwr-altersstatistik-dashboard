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002" documentId="8_{B13851A0-BF92-44E0-9E4C-BF4EA78055B0}" xr6:coauthVersionLast="47" xr6:coauthVersionMax="47" xr10:uidLastSave="{EC938903-DE49-4841-B95D-86F9E4603AA7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4" i="7" l="1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U2" i="11" a="1"/>
  <c r="S3" i="11" a="1"/>
  <c r="T4" i="11" a="1"/>
  <c r="U3" i="11" a="1"/>
  <c r="R3" i="11" a="1"/>
  <c r="R6" i="11" a="1"/>
  <c r="V3" i="11" a="1"/>
  <c r="V4" i="11" a="1"/>
  <c r="U8" i="11" a="1"/>
  <c r="V2" i="11" a="1"/>
  <c r="T2" i="11" a="1"/>
  <c r="S9" i="11" a="1"/>
  <c r="U7" i="11" a="1"/>
  <c r="T9" i="11" a="1"/>
  <c r="V6" i="11" a="1"/>
  <c r="S2" i="11" a="1"/>
  <c r="U6" i="11" a="1"/>
  <c r="R4" i="11" a="1"/>
  <c r="U4" i="11" a="1"/>
  <c r="V8" i="11" a="1"/>
  <c r="U9" i="11" a="1"/>
  <c r="T7" i="11" a="1"/>
  <c r="Q6" i="11" a="1"/>
  <c r="T3" i="11" a="1"/>
  <c r="T6" i="11" a="1"/>
  <c r="S6" i="11" a="1"/>
  <c r="V5" i="11" a="1"/>
  <c r="U5" i="11" a="1"/>
  <c r="S4" i="11" a="1"/>
  <c r="V7" i="11" a="1"/>
  <c r="R2" i="11" a="1"/>
  <c r="V9" i="11" a="1"/>
  <c r="T8" i="11" a="1"/>
  <c r="N54" i="7" l="1"/>
  <c r="N54" i="9"/>
  <c r="N57" i="4"/>
  <c r="N54" i="4"/>
  <c r="N48" i="2"/>
  <c r="N48" i="1"/>
  <c r="U7" i="11"/>
  <c r="V7" i="11"/>
  <c r="U6" i="11"/>
  <c r="S4" i="11"/>
  <c r="R3" i="11"/>
  <c r="T6" i="11"/>
  <c r="S6" i="11"/>
  <c r="R4" i="11"/>
  <c r="T7" i="11"/>
  <c r="V3" i="11"/>
  <c r="T8" i="11"/>
  <c r="R6" i="11"/>
  <c r="V4" i="11"/>
  <c r="U3" i="11"/>
  <c r="T2" i="11"/>
  <c r="U8" i="11"/>
  <c r="U2" i="11"/>
  <c r="V5" i="11"/>
  <c r="U4" i="11"/>
  <c r="T3" i="11"/>
  <c r="S2" i="11"/>
  <c r="V8" i="11"/>
  <c r="V2" i="11"/>
  <c r="V6" i="11"/>
  <c r="U5" i="11"/>
  <c r="T4" i="11"/>
  <c r="S3" i="11"/>
  <c r="R2" i="11"/>
  <c r="V9" i="11"/>
  <c r="U9" i="11"/>
  <c r="T9" i="11"/>
  <c r="S9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Q6" i="11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S8" i="11" a="1"/>
  <c r="S7" i="11" a="1"/>
  <c r="T5" i="11" a="1"/>
  <c r="S5" i="11" a="1"/>
  <c r="Q3" i="11" a="1"/>
  <c r="B3" i="11" a="1"/>
  <c r="G9" i="11" a="1"/>
  <c r="M8" i="11" a="1"/>
  <c r="B4" i="11" a="1"/>
  <c r="L4" i="11" a="1"/>
  <c r="M3" i="11" a="1"/>
  <c r="H2" i="11" a="1"/>
  <c r="M5" i="11" a="1"/>
  <c r="I6" i="11" a="1"/>
  <c r="L2" i="11" a="1"/>
  <c r="E9" i="11" a="1"/>
  <c r="E4" i="11" a="1"/>
  <c r="Q2" i="11" a="1"/>
  <c r="N6" i="11" a="1"/>
  <c r="D9" i="11" a="1"/>
  <c r="M9" i="11" a="1"/>
  <c r="M4" i="11" a="1"/>
  <c r="K5" i="11" a="1"/>
  <c r="M7" i="11" a="1"/>
  <c r="C5" i="11" a="1"/>
  <c r="O8" i="11" a="1"/>
  <c r="E7" i="11" a="1"/>
  <c r="J5" i="11" a="1"/>
  <c r="K4" i="11" a="1"/>
  <c r="C3" i="11" a="1"/>
  <c r="N9" i="11" a="1"/>
  <c r="G7" i="11" a="1"/>
  <c r="P4" i="11" a="1"/>
  <c r="R5" i="11" a="1"/>
  <c r="I4" i="11" a="1"/>
  <c r="P3" i="11" a="1"/>
  <c r="H7" i="11" a="1"/>
  <c r="D7" i="11" a="1"/>
  <c r="E6" i="11" a="1"/>
  <c r="K9" i="11" a="1"/>
  <c r="E8" i="11" a="1"/>
  <c r="J8" i="11" a="1"/>
  <c r="F2" i="11" a="1"/>
  <c r="G3" i="11" a="1"/>
  <c r="E5" i="11" a="1"/>
  <c r="E3" i="11" a="1"/>
  <c r="B6" i="11" a="1"/>
  <c r="G6" i="11" a="1"/>
  <c r="L3" i="11" a="1"/>
  <c r="L7" i="11" a="1"/>
  <c r="F3" i="11" a="1"/>
  <c r="I3" i="11" a="1"/>
  <c r="P5" i="11" a="1"/>
  <c r="L9" i="11" a="1"/>
  <c r="O6" i="11" a="1"/>
  <c r="G2" i="11" a="1"/>
  <c r="F6" i="11" a="1"/>
  <c r="J4" i="11" a="1"/>
  <c r="O7" i="11" a="1"/>
  <c r="L5" i="11" a="1"/>
  <c r="F5" i="11" a="1"/>
  <c r="N3" i="11" a="1"/>
  <c r="Q4" i="11" a="1"/>
  <c r="G8" i="11" a="1"/>
  <c r="J6" i="11" a="1"/>
  <c r="I8" i="11" a="1"/>
  <c r="B7" i="11" a="1"/>
  <c r="I9" i="11" a="1"/>
  <c r="I7" i="11" a="1"/>
  <c r="D6" i="11" a="1"/>
  <c r="C8" i="11" a="1"/>
  <c r="O2" i="11" a="1"/>
  <c r="B5" i="11" a="1"/>
  <c r="R9" i="11" a="1"/>
  <c r="B8" i="11" a="1"/>
  <c r="P2" i="11" a="1"/>
  <c r="O9" i="11" a="1"/>
  <c r="N4" i="11" a="1"/>
  <c r="C2" i="11" a="1"/>
  <c r="K8" i="11" a="1"/>
  <c r="N5" i="11" a="1"/>
  <c r="H9" i="11" a="1"/>
  <c r="D3" i="11" a="1"/>
  <c r="P8" i="11" a="1"/>
  <c r="Q8" i="11" a="1"/>
  <c r="H5" i="11" a="1"/>
  <c r="J2" i="11" a="1"/>
  <c r="G4" i="11" a="1"/>
  <c r="G5" i="11" a="1"/>
  <c r="J7" i="11" a="1"/>
  <c r="P9" i="11" a="1"/>
  <c r="D2" i="11" a="1"/>
  <c r="C6" i="11" a="1"/>
  <c r="K2" i="11" a="1"/>
  <c r="F4" i="11" a="1"/>
  <c r="D8" i="11" a="1"/>
  <c r="B9" i="11" a="1"/>
  <c r="H8" i="11" a="1"/>
  <c r="J9" i="11" a="1"/>
  <c r="H3" i="11" a="1"/>
  <c r="E2" i="11" a="1"/>
  <c r="H4" i="11" a="1"/>
  <c r="J3" i="11" a="1"/>
  <c r="K7" i="11" a="1"/>
  <c r="D5" i="11" a="1"/>
  <c r="N8" i="11" a="1"/>
  <c r="I2" i="11" a="1"/>
  <c r="N7" i="11" a="1"/>
  <c r="O4" i="11" a="1"/>
  <c r="N2" i="11" a="1"/>
  <c r="C7" i="11" a="1"/>
  <c r="F9" i="11" a="1"/>
  <c r="F8" i="11" a="1"/>
  <c r="M6" i="11" a="1"/>
  <c r="B2" i="11" a="1"/>
  <c r="H6" i="11" a="1"/>
  <c r="Q7" i="11" a="1"/>
  <c r="L6" i="11" a="1"/>
  <c r="L8" i="11" a="1"/>
  <c r="F7" i="11" a="1"/>
  <c r="D4" i="11" a="1"/>
  <c r="P7" i="11" a="1"/>
  <c r="O3" i="11" a="1"/>
  <c r="K3" i="11" a="1"/>
  <c r="O5" i="11" a="1"/>
  <c r="Q9" i="11" a="1"/>
  <c r="C4" i="11" a="1"/>
  <c r="K6" i="11" a="1"/>
  <c r="R8" i="11" a="1"/>
  <c r="R7" i="11" a="1"/>
  <c r="Q5" i="11" a="1"/>
  <c r="M2" i="11" a="1"/>
  <c r="C9" i="11" a="1"/>
  <c r="I5" i="11" a="1"/>
  <c r="P6" i="11" a="1"/>
  <c r="S8" i="11" l="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4" i="6" s="1"/>
  <c r="N1" i="8"/>
  <c r="B9" i="6" s="1"/>
  <c r="N1" i="7"/>
  <c r="B2" i="6" s="1"/>
  <c r="N1" i="9"/>
  <c r="B5" i="6" s="1"/>
  <c r="N1" i="3"/>
  <c r="B7" i="6" s="1"/>
  <c r="N1" i="4"/>
  <c r="B8" i="6" s="1"/>
  <c r="N1" i="2"/>
  <c r="B6" i="6" s="1"/>
  <c r="N1" i="1"/>
  <c r="B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<sst xmlns="http://schemas.openxmlformats.org/spreadsheetml/2006/main" count="1883" uniqueCount="292">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</sst>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19.545454545454547</c:v>
                </c:pt>
                <c:pt idx="1">
                  <c:v>18.545454545454547</c:v>
                </c:pt>
                <c:pt idx="2">
                  <c:v>21.09090909090909</c:v>
                </c:pt>
                <c:pt idx="3">
                  <c:v>19.818181818181817</c:v>
                </c:pt>
                <c:pt idx="4">
                  <c:v>20.727272727272727</c:v>
                </c:pt>
                <c:pt idx="5">
                  <c:v>19</c:v>
                </c:pt>
                <c:pt idx="6">
                  <c:v>18.636363636363637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19.363636363636363</c:v>
                </c:pt>
                <c:pt idx="3" formatCode="0.00">
                  <c:v>19.545454545454547</c:v>
                </c:pt>
                <c:pt idx="6" formatCode="0.00">
                  <c:v>19.636363636363637</c:v>
                </c:pt>
                <c:pt idx="9" formatCode="0.00">
                  <c:v>19.454545454545453</c:v>
                </c:pt>
                <c:pt idx="12" formatCode="0.00">
                  <c:v>19.454545454545453</c:v>
                </c:pt>
                <c:pt idx="15" formatCode="0.00">
                  <c:v>19.363636363636363</c:v>
                </c:pt>
                <c:pt idx="18" formatCode="0.00">
                  <c:v>19.363636363636363</c:v>
                </c:pt>
                <c:pt idx="21" formatCode="0.00">
                  <c:v>19.363636363636363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19.272727272727273</c:v>
                </c:pt>
                <c:pt idx="33" formatCode="0.00">
                  <c:v>19.363636363636363</c:v>
                </c:pt>
                <c:pt idx="36" formatCode="0.00">
                  <c:v>19.454545454545453</c:v>
                </c:pt>
                <c:pt idx="39" formatCode="0.00">
                  <c:v>19.181818181818183</c:v>
                </c:pt>
                <c:pt idx="42" formatCode="0.00">
                  <c:v>19.454545454545453</c:v>
                </c:pt>
                <c:pt idx="45" formatCode="0.00">
                  <c:v>19.363636363636363</c:v>
                </c:pt>
                <c:pt idx="48" formatCode="0.00">
                  <c:v>19.272727272727273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20.363636363636363</c:v>
                </c:pt>
                <c:pt idx="1">
                  <c:v>20.545454545454547</c:v>
                </c:pt>
                <c:pt idx="2">
                  <c:v>20.545454545454547</c:v>
                </c:pt>
                <c:pt idx="3">
                  <c:v>20.545454545454547</c:v>
                </c:pt>
                <c:pt idx="4">
                  <c:v>20.90909090909091</c:v>
                </c:pt>
                <c:pt idx="5">
                  <c:v>20.90909090909091</c:v>
                </c:pt>
                <c:pt idx="6">
                  <c:v>20.727272727272727</c:v>
                </c:pt>
                <c:pt idx="7">
                  <c:v>20.363636363636363</c:v>
                </c:pt>
                <c:pt idx="8">
                  <c:v>19.454545454545453</c:v>
                </c:pt>
                <c:pt idx="9">
                  <c:v>19.09090909090909</c:v>
                </c:pt>
                <c:pt idx="10">
                  <c:v>21</c:v>
                </c:pt>
                <c:pt idx="11">
                  <c:v>20.818181818181817</c:v>
                </c:pt>
                <c:pt idx="12">
                  <c:v>21</c:v>
                </c:pt>
                <c:pt idx="13">
                  <c:v>21.181818181818183</c:v>
                </c:pt>
                <c:pt idx="14">
                  <c:v>21.181818181818183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20.90909090909091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19,55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20.181818181818183</c:v>
                </c:pt>
                <c:pt idx="1">
                  <c:v>20.454545454545453</c:v>
                </c:pt>
                <c:pt idx="2">
                  <c:v>20.272727272727273</c:v>
                </c:pt>
                <c:pt idx="3">
                  <c:v>19.636363636363637</c:v>
                </c:pt>
                <c:pt idx="4">
                  <c:v>20.09090909090909</c:v>
                </c:pt>
                <c:pt idx="5">
                  <c:v>20.181818181818183</c:v>
                </c:pt>
                <c:pt idx="6">
                  <c:v>20.181818181818183</c:v>
                </c:pt>
                <c:pt idx="7">
                  <c:v>20.272727272727273</c:v>
                </c:pt>
                <c:pt idx="8">
                  <c:v>20.454545454545453</c:v>
                </c:pt>
                <c:pt idx="9">
                  <c:v>20.454545454545453</c:v>
                </c:pt>
                <c:pt idx="10">
                  <c:v>20.272727272727273</c:v>
                </c:pt>
                <c:pt idx="11">
                  <c:v>20.09090909090909</c:v>
                </c:pt>
                <c:pt idx="12">
                  <c:v>20.09090909090909</c:v>
                </c:pt>
                <c:pt idx="13">
                  <c:v>20.09090909090909</c:v>
                </c:pt>
                <c:pt idx="14">
                  <c:v>20.09090909090909</c:v>
                </c:pt>
                <c:pt idx="15">
                  <c:v>19.90909090909091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</c:v>
                </c:pt>
                <c:pt idx="3">
                  <c:v>19.363636363636363</c:v>
                </c:pt>
                <c:pt idx="4">
                  <c:v>19.454545454545453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18.545454545454547</c:v>
                </c:pt>
                <c:pt idx="10">
                  <c:v>20.181818181818183</c:v>
                </c:pt>
                <c:pt idx="11">
                  <c:v>19.727272727272727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20.363636363636363</c:v>
                </c:pt>
                <c:pt idx="1">
                  <c:v>20.545454545454547</c:v>
                </c:pt>
                <c:pt idx="2">
                  <c:v>20.545454545454547</c:v>
                </c:pt>
                <c:pt idx="3">
                  <c:v>20.545454545454547</c:v>
                </c:pt>
                <c:pt idx="4">
                  <c:v>20.90909090909091</c:v>
                </c:pt>
                <c:pt idx="5">
                  <c:v>20.90909090909091</c:v>
                </c:pt>
                <c:pt idx="6">
                  <c:v>20.727272727272727</c:v>
                </c:pt>
                <c:pt idx="7">
                  <c:v>20.363636363636363</c:v>
                </c:pt>
                <c:pt idx="8">
                  <c:v>19.454545454545453</c:v>
                </c:pt>
                <c:pt idx="9">
                  <c:v>19.09090909090909</c:v>
                </c:pt>
                <c:pt idx="10">
                  <c:v>21</c:v>
                </c:pt>
                <c:pt idx="11">
                  <c:v>20.818181818181817</c:v>
                </c:pt>
                <c:pt idx="12">
                  <c:v>21</c:v>
                </c:pt>
                <c:pt idx="13">
                  <c:v>21.181818181818183</c:v>
                </c:pt>
                <c:pt idx="14">
                  <c:v>21.181818181818183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20.90909090909091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</c:v>
                </c:pt>
                <c:pt idx="1">
                  <c:v>21.181818181818183</c:v>
                </c:pt>
                <c:pt idx="2">
                  <c:v>21</c:v>
                </c:pt>
                <c:pt idx="3">
                  <c:v>20.90909090909091</c:v>
                </c:pt>
                <c:pt idx="4">
                  <c:v>20.727272727272727</c:v>
                </c:pt>
                <c:pt idx="5">
                  <c:v>20.272727272727273</c:v>
                </c:pt>
                <c:pt idx="6">
                  <c:v>20.181818181818183</c:v>
                </c:pt>
                <c:pt idx="7">
                  <c:v>20.454545454545453</c:v>
                </c:pt>
                <c:pt idx="8">
                  <c:v>20.727272727272727</c:v>
                </c:pt>
                <c:pt idx="9">
                  <c:v>20.454545454545453</c:v>
                </c:pt>
                <c:pt idx="10">
                  <c:v>20.727272727272727</c:v>
                </c:pt>
                <c:pt idx="11">
                  <c:v>20.454545454545453</c:v>
                </c:pt>
                <c:pt idx="12">
                  <c:v>20.454545454545453</c:v>
                </c:pt>
                <c:pt idx="13">
                  <c:v>20.636363636363637</c:v>
                </c:pt>
                <c:pt idx="14">
                  <c:v>20.90909090909091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19.636363636363637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</c:v>
                </c:pt>
                <c:pt idx="12">
                  <c:v>20</c:v>
                </c:pt>
                <c:pt idx="15">
                  <c:v>19.90909090909091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19.454545454545453</c:v>
                </c:pt>
                <c:pt idx="36">
                  <c:v>19.181818181818183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19.272727272727273</c:v>
                </c:pt>
                <c:pt idx="51">
                  <c:v>18.818181818181817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19.363636363636363</c:v>
                </c:pt>
                <c:pt idx="3" formatCode="0.00">
                  <c:v>19.545454545454547</c:v>
                </c:pt>
                <c:pt idx="6" formatCode="0.00">
                  <c:v>19.636363636363637</c:v>
                </c:pt>
                <c:pt idx="9" formatCode="0.00">
                  <c:v>19.454545454545453</c:v>
                </c:pt>
                <c:pt idx="12" formatCode="0.00">
                  <c:v>19.454545454545453</c:v>
                </c:pt>
                <c:pt idx="15" formatCode="0.00">
                  <c:v>19.363636363636363</c:v>
                </c:pt>
                <c:pt idx="18" formatCode="0.00">
                  <c:v>19.363636363636363</c:v>
                </c:pt>
                <c:pt idx="21" formatCode="0.00">
                  <c:v>19.363636363636363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19.272727272727273</c:v>
                </c:pt>
                <c:pt idx="33" formatCode="0.00">
                  <c:v>19.363636363636363</c:v>
                </c:pt>
                <c:pt idx="36" formatCode="0.00">
                  <c:v>19.454545454545453</c:v>
                </c:pt>
                <c:pt idx="39" formatCode="0.00">
                  <c:v>19.181818181818183</c:v>
                </c:pt>
                <c:pt idx="42" formatCode="0.00">
                  <c:v>19.454545454545453</c:v>
                </c:pt>
                <c:pt idx="45" formatCode="0.00">
                  <c:v>19.363636363636363</c:v>
                </c:pt>
                <c:pt idx="48" formatCode="0.00">
                  <c:v>19.272727272727273</c:v>
                </c:pt>
                <c:pt idx="51" formatCode="0.00">
                  <c:v>18.90909090909091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20.363636363636363</c:v>
                </c:pt>
                <c:pt idx="12" formatCode="0.00">
                  <c:v>20</c:v>
                </c:pt>
                <c:pt idx="15" formatCode="0.00">
                  <c:v>20.09090909090909</c:v>
                </c:pt>
                <c:pt idx="18" formatCode="0.00">
                  <c:v>21.09090909090909</c:v>
                </c:pt>
                <c:pt idx="21" formatCode="0.00">
                  <c:v>20.727272727272727</c:v>
                </c:pt>
                <c:pt idx="24" formatCode="0.00">
                  <c:v>21.545454545454547</c:v>
                </c:pt>
                <c:pt idx="27" formatCode="0.00">
                  <c:v>20.818181818181817</c:v>
                </c:pt>
                <c:pt idx="30" formatCode="0.00">
                  <c:v>20.727272727272727</c:v>
                </c:pt>
                <c:pt idx="33" formatCode="0.00">
                  <c:v>20.727272727272727</c:v>
                </c:pt>
                <c:pt idx="36" formatCode="0.00">
                  <c:v>21.09090909090909</c:v>
                </c:pt>
                <c:pt idx="39" formatCode="0.00">
                  <c:v>21.636363636363637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Q33" sqref="Q33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19.373737373737374</v>
      </c>
    </row>
    <row r="3" spans="1:2" x14ac:dyDescent="0.3">
      <c r="A3" s="2" t="s">
        <v>33</v>
      </c>
      <c r="B3" s="3">
        <f ca="1">JWR!N1</f>
        <v>19.414772727272727</v>
      </c>
    </row>
    <row r="4" spans="1:2" x14ac:dyDescent="0.3">
      <c r="A4" s="4" t="s">
        <v>40</v>
      </c>
      <c r="B4" s="5">
        <f ca="1">'Altach Juniors'!N1</f>
        <v>19.47159090909091</v>
      </c>
    </row>
    <row r="5" spans="1:2" x14ac:dyDescent="0.3">
      <c r="A5" s="4" t="s">
        <v>49</v>
      </c>
      <c r="B5" s="5">
        <f ca="1">Rapid!N1</f>
        <v>19.646464646464644</v>
      </c>
    </row>
    <row r="6" spans="1:2" x14ac:dyDescent="0.3">
      <c r="A6" s="4" t="s">
        <v>4</v>
      </c>
      <c r="B6" s="5">
        <f ca="1">LASK!N1</f>
        <v>20.170454545454543</v>
      </c>
    </row>
    <row r="7" spans="1:2" x14ac:dyDescent="0.3">
      <c r="A7" s="4" t="s">
        <v>16</v>
      </c>
      <c r="B7" s="5">
        <f ca="1">WAC!N1</f>
        <v>20.672727272727276</v>
      </c>
    </row>
    <row r="8" spans="1:2" x14ac:dyDescent="0.3">
      <c r="A8" s="4" t="s">
        <v>41</v>
      </c>
      <c r="B8" s="5">
        <f ca="1">'Young Violets'!N1</f>
        <v>20.684210526315791</v>
      </c>
    </row>
    <row r="9" spans="1:2" x14ac:dyDescent="0.3">
      <c r="A9" s="4" t="s">
        <v>50</v>
      </c>
      <c r="B9" s="5">
        <f ca="1">Sturm!N1</f>
        <v>20.689839572192511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R8" sqref="R8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19.545454545454547</v>
      </c>
      <c r="C2" s="8" cm="1">
        <f t="array" aca="1" ref="C2" ca="1">INDIRECT("JWR!N" &amp; (COLUMN()-1)*3)</f>
        <v>18.545454545454547</v>
      </c>
      <c r="D2" s="8" cm="1">
        <f t="array" aca="1" ref="D2" ca="1">INDIRECT("JWR!N" &amp; (COLUMN()-1)*3)</f>
        <v>21.09090909090909</v>
      </c>
      <c r="E2" s="8" cm="1">
        <f t="array" aca="1" ref="E2" ca="1">INDIRECT("JWR!N" &amp; (COLUMN()-1)*3)</f>
        <v>19.818181818181817</v>
      </c>
      <c r="F2" s="8" cm="1">
        <f t="array" aca="1" ref="F2" ca="1">INDIRECT("JWR!N" &amp; (COLUMN()-1)*3)</f>
        <v>20.727272727272727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18.636363636363637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0</v>
      </c>
      <c r="S2" s="8" cm="1">
        <f t="array" aca="1" ref="S2" ca="1">INDIRECT("JWR!N" &amp; (COLUMN()-1)*3)</f>
        <v>0</v>
      </c>
      <c r="T2" s="8" cm="1">
        <f t="array" aca="1" ref="T2" ca="1">INDIRECT("JWR!N" &amp; (COLUMN()-1)*3)</f>
        <v>0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20.181818181818183</v>
      </c>
      <c r="C3" s="8" cm="1">
        <f t="array" aca="1" ref="C3" ca="1">INDIRECT("LASK!N" &amp; (COLUMN()-1)*3)</f>
        <v>20.454545454545453</v>
      </c>
      <c r="D3" s="8" cm="1">
        <f t="array" aca="1" ref="D3" ca="1">INDIRECT("LASK!N" &amp; (COLUMN()-1)*3)</f>
        <v>20.272727272727273</v>
      </c>
      <c r="E3" s="8" cm="1">
        <f t="array" aca="1" ref="E3" ca="1">INDIRECT("LASK!N" &amp; (COLUMN()-1)*3)</f>
        <v>19.636363636363637</v>
      </c>
      <c r="F3" s="8" cm="1">
        <f t="array" aca="1" ref="F3" ca="1">INDIRECT("LASK!N" &amp; (COLUMN()-1)*3)</f>
        <v>20.09090909090909</v>
      </c>
      <c r="G3" s="8" cm="1">
        <f t="array" aca="1" ref="G3" ca="1">INDIRECT("LASK!N" &amp; (COLUMN()-1)*3)</f>
        <v>20.181818181818183</v>
      </c>
      <c r="H3" s="8" cm="1">
        <f t="array" aca="1" ref="H3" ca="1">INDIRECT("LASK!N" &amp; (COLUMN()-1)*3)</f>
        <v>20.181818181818183</v>
      </c>
      <c r="I3" s="8" cm="1">
        <f t="array" aca="1" ref="I3" ca="1">INDIRECT("LASK!N" &amp; (COLUMN()-1)*3)</f>
        <v>20.272727272727273</v>
      </c>
      <c r="J3" s="8" cm="1">
        <f t="array" aca="1" ref="J3" ca="1">INDIRECT("LASK!N" &amp; (COLUMN()-1)*3)</f>
        <v>20.454545454545453</v>
      </c>
      <c r="K3" s="8" cm="1">
        <f t="array" aca="1" ref="K3" ca="1">INDIRECT("LASK!N" &amp; (COLUMN()-1)*3)</f>
        <v>20.454545454545453</v>
      </c>
      <c r="L3" s="8" cm="1">
        <f t="array" aca="1" ref="L3" ca="1">INDIRECT("LASK!N" &amp; (COLUMN()-1)*3)</f>
        <v>20.272727272727273</v>
      </c>
      <c r="M3" s="8" cm="1">
        <f t="array" aca="1" ref="M3" ca="1">INDIRECT("LASK!N" &amp; (COLUMN()-1)*3)</f>
        <v>20.09090909090909</v>
      </c>
      <c r="N3" s="8" cm="1">
        <f t="array" aca="1" ref="N3" ca="1">INDIRECT("LASK!N" &amp; (COLUMN()-1)*3)</f>
        <v>20.09090909090909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20.09090909090909</v>
      </c>
      <c r="Q3" s="8" cm="1">
        <f t="array" aca="1" ref="Q3" ca="1">INDIRECT("LASK!N" &amp; (COLUMN()-1)*3)</f>
        <v>19.90909090909091</v>
      </c>
      <c r="R3" s="8" cm="1">
        <f t="array" aca="1" ref="R3" ca="1">INDIRECT("LASK!N" &amp; (COLUMN()-1)*3)</f>
        <v>0</v>
      </c>
      <c r="S3" s="8" cm="1">
        <f t="array" aca="1" ref="S3" ca="1">INDIRECT("LASK!N" &amp; (COLUMN()-1)*3)</f>
        <v>0</v>
      </c>
      <c r="T3" s="8" cm="1">
        <f t="array" aca="1" ref="T3" ca="1">INDIRECT("LASK!N" &amp; (COLUMN()-1)*3)</f>
        <v>0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</v>
      </c>
      <c r="E4" s="5" cm="1">
        <f t="array" aca="1" ref="E4" ca="1">INDIRECT("'Altach Juniors'!N" &amp; (COLUMN()-1)*3)</f>
        <v>19.363636363636363</v>
      </c>
      <c r="F4" s="5" cm="1">
        <f t="array" aca="1" ref="F4" ca="1">INDIRECT("'Altach Juniors'!N" &amp; (COLUMN()-1)*3)</f>
        <v>19.454545454545453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18.545454545454547</v>
      </c>
      <c r="L4" s="5" cm="1">
        <f t="array" aca="1" ref="L4" ca="1">INDIRECT("'Altach Juniors'!N" &amp; (COLUMN()-1)*3)</f>
        <v>20.181818181818183</v>
      </c>
      <c r="M4" s="5" cm="1">
        <f t="array" aca="1" ref="M4" ca="1">INDIRECT("'Altach Juniors'!N" &amp; (COLUMN()-1)*3)</f>
        <v>19.727272727272727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0</v>
      </c>
      <c r="S4" s="5" cm="1">
        <f t="array" aca="1" ref="S4" ca="1">INDIRECT("'Altach Juniors'!N" &amp; (COLUMN()-1)*3)</f>
        <v>0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20.363636363636363</v>
      </c>
      <c r="C5" s="5" cm="1">
        <f t="array" aca="1" ref="C5" ca="1">INDIRECT("'Young Violets'!N" &amp; (COLUMN()-1)*3)</f>
        <v>20.545454545454547</v>
      </c>
      <c r="D5" s="5" cm="1">
        <f t="array" aca="1" ref="D5" ca="1">INDIRECT("'Young Violets'!N" &amp; (COLUMN()-1)*3)</f>
        <v>20.545454545454547</v>
      </c>
      <c r="E5" s="5" cm="1">
        <f t="array" aca="1" ref="E5" ca="1">INDIRECT("'Young Violets'!N" &amp; (COLUMN()-1)*3)</f>
        <v>20.545454545454547</v>
      </c>
      <c r="F5" s="5" cm="1">
        <f t="array" aca="1" ref="F5" ca="1">INDIRECT("'Young Violets'!N" &amp; (COLUMN()-1)*3)</f>
        <v>20.90909090909091</v>
      </c>
      <c r="G5" s="5" cm="1">
        <f t="array" aca="1" ref="G5" ca="1">INDIRECT("'Young Violets'!N" &amp; (COLUMN()-1)*3)</f>
        <v>20.90909090909091</v>
      </c>
      <c r="H5" s="5" cm="1">
        <f t="array" aca="1" ref="H5" ca="1">INDIRECT("'Young Violets'!N" &amp; (COLUMN()-1)*3)</f>
        <v>20.727272727272727</v>
      </c>
      <c r="I5" s="5" cm="1">
        <f t="array" aca="1" ref="I5" ca="1">INDIRECT("'Young Violets'!N" &amp; (COLUMN()-1)*3)</f>
        <v>20.363636363636363</v>
      </c>
      <c r="J5" s="5" cm="1">
        <f t="array" aca="1" ref="J5" ca="1">INDIRECT("'Young Violets'!N" &amp; (COLUMN()-1)*3)</f>
        <v>19.454545454545453</v>
      </c>
      <c r="K5" s="5" cm="1">
        <f t="array" aca="1" ref="K5" ca="1">INDIRECT("'Young Violets'!N" &amp; (COLUMN()-1)*3)</f>
        <v>19.09090909090909</v>
      </c>
      <c r="L5" s="5" cm="1">
        <f t="array" aca="1" ref="L5" ca="1">INDIRECT("'Young Violets'!N" &amp; (COLUMN()-1)*3)</f>
        <v>21</v>
      </c>
      <c r="M5" s="5" cm="1">
        <f t="array" aca="1" ref="M5" ca="1">INDIRECT("'Young Violets'!N" &amp; (COLUMN()-1)*3)</f>
        <v>20.818181818181817</v>
      </c>
      <c r="N5" s="5" cm="1">
        <f t="array" aca="1" ref="N5" ca="1">INDIRECT("'Young Violets'!N" &amp; (COLUMN()-1)*3)</f>
        <v>21</v>
      </c>
      <c r="O5" s="5" cm="1">
        <f t="array" aca="1" ref="O5" ca="1">INDIRECT("'Young Violets'!N" &amp; (COLUMN()-1)*3)</f>
        <v>21.181818181818183</v>
      </c>
      <c r="P5" s="5" cm="1">
        <f t="array" aca="1" ref="P5" ca="1">INDIRECT("'Young Violets'!N" &amp; (COLUMN()-1)*3)</f>
        <v>21.181818181818183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20.90909090909091</v>
      </c>
      <c r="T5" s="5" cm="1">
        <f t="array" aca="1" ref="T5" ca="1">INDIRECT("'Young Violets'!N" &amp; (COLUMN()-1)*3)</f>
        <v>21.454545454545453</v>
      </c>
      <c r="U5" s="5" cm="1">
        <f t="array" aca="1" ref="U5" ca="1">INDIRECT("'Young Violets'!N" &amp; (COLUMN()-1)*3)</f>
        <v>0</v>
      </c>
      <c r="V5" s="5" cm="1">
        <f t="array" aca="1" ref="V5" ca="1">INDIRECT("'Young Violets'!N" &amp; (COLUMN()-1)*3)</f>
        <v>0</v>
      </c>
    </row>
    <row r="6" spans="1:22" x14ac:dyDescent="0.3">
      <c r="A6" s="4" t="s">
        <v>16</v>
      </c>
      <c r="B6" s="5" cm="1">
        <f t="array" aca="1" ref="B6" ca="1">INDIRECT("WAC!N" &amp; (COLUMN()-1)*3)</f>
        <v>21</v>
      </c>
      <c r="C6" s="5" cm="1">
        <f t="array" aca="1" ref="C6" ca="1">INDIRECT("WAC!N" &amp; (COLUMN()-1)*3)</f>
        <v>21.181818181818183</v>
      </c>
      <c r="D6" s="5" cm="1">
        <f t="array" aca="1" ref="D6" ca="1">INDIRECT("WAC!N" &amp; (COLUMN()-1)*3)</f>
        <v>21</v>
      </c>
      <c r="E6" s="5" cm="1">
        <f t="array" aca="1" ref="E6" ca="1">INDIRECT("WAC!N" &amp; (COLUMN()-1)*3)</f>
        <v>20.90909090909091</v>
      </c>
      <c r="F6" s="5" cm="1">
        <f t="array" aca="1" ref="F6" ca="1">INDIRECT("WAC!N" &amp; (COLUMN()-1)*3)</f>
        <v>20.727272727272727</v>
      </c>
      <c r="G6" s="5" cm="1">
        <f t="array" aca="1" ref="G6" ca="1">INDIRECT("WAC!N" &amp; (COLUMN()-1)*3)</f>
        <v>20.272727272727273</v>
      </c>
      <c r="H6" s="5" cm="1">
        <f t="array" aca="1" ref="H6" ca="1">INDIRECT("WAC!N" &amp; (COLUMN()-1)*3)</f>
        <v>20.181818181818183</v>
      </c>
      <c r="I6" s="5" cm="1">
        <f t="array" aca="1" ref="I6" ca="1">INDIRECT("WAC!N" &amp; (COLUMN()-1)*3)</f>
        <v>20.454545454545453</v>
      </c>
      <c r="J6" s="5" cm="1">
        <f t="array" aca="1" ref="J6" ca="1">INDIRECT("WAC!N" &amp; (COLUMN()-1)*3)</f>
        <v>20.727272727272727</v>
      </c>
      <c r="K6" s="5" cm="1">
        <f t="array" aca="1" ref="K6" ca="1">INDIRECT("WAC!N" &amp; (COLUMN()-1)*3)</f>
        <v>20.454545454545453</v>
      </c>
      <c r="L6" s="5" cm="1">
        <f t="array" aca="1" ref="L6" ca="1">INDIRECT("WAC!N" &amp; (COLUMN()-1)*3)</f>
        <v>20.727272727272727</v>
      </c>
      <c r="M6" s="5" cm="1">
        <f t="array" aca="1" ref="M6" ca="1">INDIRECT("WAC!N" &amp; (COLUMN()-1)*3)</f>
        <v>20.454545454545453</v>
      </c>
      <c r="N6" s="5" cm="1">
        <f t="array" aca="1" ref="N6" ca="1">INDIRECT("WAC!N" &amp; (COLUMN()-1)*3)</f>
        <v>20.454545454545453</v>
      </c>
      <c r="O6" s="5" cm="1">
        <f t="array" aca="1" ref="O6" ca="1">INDIRECT("WAC!N" &amp; (COLUMN()-1)*3)</f>
        <v>20.636363636363637</v>
      </c>
      <c r="P6" s="5" cm="1">
        <f t="array" aca="1" ref="P6" ca="1">INDIRECT("WAC!N" &amp; (COLUMN()-1)*3)</f>
        <v>20.90909090909091</v>
      </c>
      <c r="Q6" s="5" cm="1">
        <f t="array" aca="1" ref="Q6" ca="1">INDIRECT("WAC!N" &amp; (COLUMN()-1)*3)</f>
        <v>0</v>
      </c>
      <c r="R6" s="5" cm="1">
        <f t="array" aca="1" ref="R6" ca="1">INDIRECT("WAC!N" &amp; (COLUMN()-1)*3)</f>
        <v>0</v>
      </c>
      <c r="S6" s="5" cm="1">
        <f t="array" aca="1" ref="S6" ca="1">INDIRECT("WAC!N" &amp; (COLUMN()-1)*3)</f>
        <v>0</v>
      </c>
      <c r="T6" s="5" cm="1">
        <f t="array" aca="1" ref="T6" ca="1">INDIRECT("WAC!N" &amp; (COLUMN()-1)*3)</f>
        <v>0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19.636363636363637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19.90909090909091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19.454545454545453</v>
      </c>
      <c r="N7" s="5" cm="1">
        <f t="array" aca="1" ref="N7" ca="1">INDIRECT("Rapid!N" &amp; (COLUMN()-1)*3)</f>
        <v>19.181818181818183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19.272727272727273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0</v>
      </c>
      <c r="U7" s="5" cm="1">
        <f t="array" aca="1" ref="U7" ca="1">INDIRECT("Rapid!N" &amp; (COLUMN()-1)*3)</f>
        <v>0</v>
      </c>
      <c r="V7" s="5" cm="1">
        <f t="array" aca="1" ref="V7" ca="1">INDIRECT("Rapid!N" &amp; (COLUMN()-1)*3)</f>
        <v>0</v>
      </c>
    </row>
    <row r="8" spans="1:22" x14ac:dyDescent="0.3">
      <c r="A8" s="4" t="s">
        <v>51</v>
      </c>
      <c r="B8" s="5" cm="1">
        <f t="array" aca="1" ref="B8" ca="1">INDIRECT("Liefering!N" &amp; (COLUMN()-1)*3)</f>
        <v>19.363636363636363</v>
      </c>
      <c r="C8" s="5" cm="1">
        <f t="array" aca="1" ref="C8" ca="1">INDIRECT("Liefering!N" &amp; (COLUMN()-1)*3)</f>
        <v>19.545454545454547</v>
      </c>
      <c r="D8" s="5" cm="1">
        <f t="array" aca="1" ref="D8" ca="1">INDIRECT("Liefering!N" &amp; (COLUMN()-1)*3)</f>
        <v>19.636363636363637</v>
      </c>
      <c r="E8" s="5" cm="1">
        <f t="array" aca="1" ref="E8" ca="1">INDIRECT("Liefering!N" &amp; (COLUMN()-1)*3)</f>
        <v>19.454545454545453</v>
      </c>
      <c r="F8" s="5" cm="1">
        <f t="array" aca="1" ref="F8" ca="1">INDIRECT("Liefering!N" &amp; (COLUMN()-1)*3)</f>
        <v>19.454545454545453</v>
      </c>
      <c r="G8" s="5" cm="1">
        <f t="array" aca="1" ref="G8" ca="1">INDIRECT("Liefering!N" &amp; (COLUMN()-1)*3)</f>
        <v>19.363636363636363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19.363636363636363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19.272727272727273</v>
      </c>
      <c r="M8" s="5" cm="1">
        <f t="array" aca="1" ref="M8" ca="1">INDIRECT("Liefering!N" &amp; (COLUMN()-1)*3)</f>
        <v>19.363636363636363</v>
      </c>
      <c r="N8" s="5" cm="1">
        <f t="array" aca="1" ref="N8" ca="1">INDIRECT("Liefering!N" &amp; (COLUMN()-1)*3)</f>
        <v>19.454545454545453</v>
      </c>
      <c r="O8" s="5" cm="1">
        <f t="array" aca="1" ref="O8" ca="1">INDIRECT("Liefering!N" &amp; (COLUMN()-1)*3)</f>
        <v>19.181818181818183</v>
      </c>
      <c r="P8" s="5" cm="1">
        <f t="array" aca="1" ref="P8" ca="1">INDIRECT("Liefering!N" &amp; (COLUMN()-1)*3)</f>
        <v>19.454545454545453</v>
      </c>
      <c r="Q8" s="5" cm="1">
        <f t="array" aca="1" ref="Q8" ca="1">INDIRECT("Liefering!N" &amp; (COLUMN()-1)*3)</f>
        <v>19.363636363636363</v>
      </c>
      <c r="R8" s="5" cm="1">
        <f t="array" aca="1" ref="R8" ca="1">INDIRECT("Liefering!N" &amp; (COLUMN()-1)*3)</f>
        <v>19.272727272727273</v>
      </c>
      <c r="S8" s="5" cm="1">
        <f t="array" aca="1" ref="S8" ca="1">INDIRECT("Liefering!N" &amp; (COLUMN()-1)*3)</f>
        <v>18.90909090909091</v>
      </c>
      <c r="T8" s="5" cm="1">
        <f t="array" aca="1" ref="T8" ca="1">INDIRECT("Liefering!N" &amp; (COLUMN()-1)*3)</f>
        <v>0</v>
      </c>
      <c r="U8" s="5" cm="1">
        <f t="array" aca="1" ref="U8" ca="1">INDIRECT("Liefering!N" &amp; (COLUMN()-1)*3)</f>
        <v>0</v>
      </c>
      <c r="V8" s="5" cm="1">
        <f t="array" aca="1" ref="V8" ca="1">INDIRECT("Liefering!N" &amp; (COLUMN()-1)*3)</f>
        <v>0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20.363636363636363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20.09090909090909</v>
      </c>
      <c r="H9" s="5" cm="1">
        <f t="array" aca="1" ref="H9" ca="1">INDIRECT("Sturm!N" &amp; (COLUMN()-1)*3)</f>
        <v>21.09090909090909</v>
      </c>
      <c r="I9" s="5" cm="1">
        <f t="array" aca="1" ref="I9" ca="1">INDIRECT("Sturm!N" &amp; (COLUMN()-1)*3)</f>
        <v>20.727272727272727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20.818181818181817</v>
      </c>
      <c r="L9" s="5" cm="1">
        <f t="array" aca="1" ref="L9" ca="1">INDIRECT("Sturm!N" &amp; (COLUMN()-1)*3)</f>
        <v>20.727272727272727</v>
      </c>
      <c r="M9" s="5" cm="1">
        <f t="array" aca="1" ref="M9" ca="1">INDIRECT("Sturm!N" &amp; (COLUMN()-1)*3)</f>
        <v>20.727272727272727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21.636363636363637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20.454545454545453</v>
      </c>
      <c r="S9" s="5" cm="1">
        <f t="array" aca="1" ref="S9" ca="1">INDIRECT("Sturm!N" &amp; (COLUMN()-1)*3)</f>
        <v>0</v>
      </c>
      <c r="T9" s="5" cm="1">
        <f t="array" aca="1" ref="T9" ca="1">INDIRECT("Sturm!N" &amp; (COLUMN()-1)*3)</f>
        <v>0</v>
      </c>
      <c r="U9" s="5" cm="1">
        <f t="array" aca="1" ref="U9" ca="1">INDIRECT("Sturm!N" &amp; (COLUMN()-1)*3)</f>
        <v>0</v>
      </c>
      <c r="V9" s="5" cm="1">
        <f t="array" aca="1" ref="V9" ca="1">INDIRECT("Sturm!N" &amp; (COLUMN()-1)*3)</f>
        <v>0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25" zoomScale="90" zoomScaleNormal="90" workbookViewId="0">
      <selection activeCell="I48" sqref="I48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19.414772727272727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18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19.545454545454547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18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18.545454545454547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18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21.09090909090909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18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19.818181818181817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18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20.727272727272727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18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18.636363636363637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4:17" x14ac:dyDescent="0.3">
      <c r="P49" t="s">
        <v>283</v>
      </c>
      <c r="Q49" s="6">
        <v>38486</v>
      </c>
    </row>
    <row r="50" spans="14:17" x14ac:dyDescent="0.3">
      <c r="P50" t="s">
        <v>284</v>
      </c>
      <c r="Q50" s="6">
        <v>38422</v>
      </c>
    </row>
    <row r="51" spans="14:17" x14ac:dyDescent="0.3">
      <c r="N51" s="1"/>
    </row>
    <row r="54" spans="14:17" x14ac:dyDescent="0.3">
      <c r="N54" s="1"/>
    </row>
    <row r="57" spans="14:17" x14ac:dyDescent="0.3">
      <c r="N57" s="1"/>
    </row>
    <row r="60" spans="14:17" x14ac:dyDescent="0.3">
      <c r="N60" s="1"/>
    </row>
    <row r="63" spans="14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48"/>
  <sheetViews>
    <sheetView topLeftCell="A22" zoomScaleNormal="100" workbookViewId="0">
      <selection activeCell="P46" sqref="P46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20.170454545454543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20.181818181818183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20.454545454545453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20.272727272727273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20</v>
      </c>
      <c r="E12">
        <f t="shared" ca="1" si="3"/>
        <v>18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19.636363636363637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20.09090909090909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20.181818181818183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20.181818181818183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20.272727272727273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20.454545454545453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20.454545454545453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20.272727272727273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20.09090909090909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20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20.09090909090909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21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20.09090909090909</v>
      </c>
      <c r="P45" t="s">
        <v>287</v>
      </c>
      <c r="Q45" s="6">
        <v>39689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20</v>
      </c>
      <c r="K48">
        <f t="shared" ca="1" si="15"/>
        <v>17</v>
      </c>
      <c r="L48">
        <f t="shared" ca="1" si="15"/>
        <v>20</v>
      </c>
      <c r="N48" s="1">
        <f ca="1">AVERAGE(B48:M48)</f>
        <v>19.90909090909091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48"/>
  <sheetViews>
    <sheetView topLeftCell="A24" workbookViewId="0">
      <selection activeCell="C48" sqref="C48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19.47159090909091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19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19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19.363636363636363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19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19.454545454545453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18.545454545454547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20.181818181818183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19.727272727272727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0"/>
  <sheetViews>
    <sheetView topLeftCell="A33" workbookViewId="0">
      <selection activeCell="L56" sqref="L56"/>
    </sheetView>
  </sheetViews>
  <sheetFormatPr baseColWidth="10" defaultRowHeight="14.4" x14ac:dyDescent="0.3"/>
  <sheetData>
    <row r="1" spans="1:14" x14ac:dyDescent="0.3">
      <c r="N1" s="1">
        <f ca="1">AVERAGE(N2:N99)</f>
        <v>20.684210526315791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17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18</v>
      </c>
      <c r="K3">
        <f t="shared" ca="1" si="0"/>
        <v>18</v>
      </c>
      <c r="L3">
        <f t="shared" ca="1" si="0"/>
        <v>36</v>
      </c>
      <c r="N3" s="1">
        <f ca="1">AVERAGE(B3:M3)</f>
        <v>20.363636363636363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18</v>
      </c>
      <c r="K6">
        <f t="shared" ca="1" si="1"/>
        <v>18</v>
      </c>
      <c r="L6">
        <f t="shared" ca="1" si="1"/>
        <v>36</v>
      </c>
      <c r="N6" s="1">
        <f ca="1">AVERAGE(B6:M6)</f>
        <v>20.545454545454547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17</v>
      </c>
      <c r="H9">
        <f t="shared" ca="1" si="2"/>
        <v>18</v>
      </c>
      <c r="I9">
        <f t="shared" ca="1" si="2"/>
        <v>20</v>
      </c>
      <c r="J9">
        <f t="shared" ca="1" si="2"/>
        <v>18</v>
      </c>
      <c r="K9">
        <f t="shared" ca="1" si="2"/>
        <v>20</v>
      </c>
      <c r="L9">
        <f t="shared" ca="1" si="2"/>
        <v>36</v>
      </c>
      <c r="N9" s="1">
        <f ca="1">AVERAGE(B9:M9)</f>
        <v>20.545454545454547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17</v>
      </c>
      <c r="H12">
        <f t="shared" ca="1" si="3"/>
        <v>18</v>
      </c>
      <c r="I12">
        <f t="shared" ca="1" si="3"/>
        <v>20</v>
      </c>
      <c r="J12">
        <f t="shared" ca="1" si="3"/>
        <v>18</v>
      </c>
      <c r="K12">
        <f t="shared" ca="1" si="3"/>
        <v>20</v>
      </c>
      <c r="L12">
        <f t="shared" ca="1" si="3"/>
        <v>36</v>
      </c>
      <c r="N12" s="1">
        <f ca="1">AVERAGE(B12:M12)</f>
        <v>20.545454545454547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18</v>
      </c>
      <c r="K15">
        <f t="shared" ca="1" si="4"/>
        <v>20</v>
      </c>
      <c r="L15">
        <f t="shared" ca="1" si="4"/>
        <v>36</v>
      </c>
      <c r="N15" s="1">
        <f ca="1">AVERAGE(B15:M15)</f>
        <v>20.90909090909091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18</v>
      </c>
      <c r="K18">
        <f t="shared" ca="1" si="5"/>
        <v>20</v>
      </c>
      <c r="L18">
        <f t="shared" ca="1" si="5"/>
        <v>36</v>
      </c>
      <c r="N18" s="1">
        <f ca="1">AVERAGE(B18:M18)</f>
        <v>20.90909090909091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20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17</v>
      </c>
      <c r="J21">
        <f t="shared" ca="1" si="6"/>
        <v>18</v>
      </c>
      <c r="K21">
        <f t="shared" ca="1" si="6"/>
        <v>18</v>
      </c>
      <c r="L21">
        <f t="shared" ca="1" si="6"/>
        <v>36</v>
      </c>
      <c r="N21" s="1">
        <f ca="1">AVERAGE(B21:M21)</f>
        <v>20.727272727272727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20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17</v>
      </c>
      <c r="J24">
        <f t="shared" ca="1" si="7"/>
        <v>18</v>
      </c>
      <c r="K24">
        <f t="shared" ca="1" si="7"/>
        <v>18</v>
      </c>
      <c r="L24">
        <f t="shared" ca="1" si="7"/>
        <v>36</v>
      </c>
      <c r="N24" s="1">
        <f ca="1">AVERAGE(B24:M24)</f>
        <v>20.363636363636363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19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17</v>
      </c>
      <c r="J27">
        <f t="shared" ca="1" si="8"/>
        <v>18</v>
      </c>
      <c r="K27">
        <f t="shared" ca="1" si="8"/>
        <v>24</v>
      </c>
      <c r="L27">
        <f t="shared" ca="1" si="8"/>
        <v>20</v>
      </c>
      <c r="N27" s="1">
        <f ca="1">AVERAGE(B27:M27)</f>
        <v>19.454545454545453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19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17</v>
      </c>
      <c r="J30">
        <f t="shared" ca="1" si="9"/>
        <v>18</v>
      </c>
      <c r="K30">
        <f t="shared" ca="1" si="9"/>
        <v>20</v>
      </c>
      <c r="L30">
        <f t="shared" ca="1" si="9"/>
        <v>20</v>
      </c>
      <c r="N30" s="1">
        <f ca="1">AVERAGE(B30:M30)</f>
        <v>19.09090909090909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20</v>
      </c>
      <c r="N33" s="1">
        <f ca="1">AVERAGE(B33:M33)</f>
        <v>21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19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18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20</v>
      </c>
      <c r="N36" s="1">
        <f ca="1">AVERAGE(B36:M36)</f>
        <v>20.818181818181817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18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20</v>
      </c>
      <c r="N39" s="1">
        <f ca="1">AVERAGE(B39:M39)</f>
        <v>21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21.181818181818183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18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21.181818181818183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18</v>
      </c>
      <c r="F54">
        <f t="shared" ca="1" si="17"/>
        <v>17</v>
      </c>
      <c r="G54">
        <f t="shared" ca="1" si="17"/>
        <v>18</v>
      </c>
      <c r="H54">
        <f t="shared" ca="1" si="17"/>
        <v>20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20.90909090909091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20</v>
      </c>
      <c r="F57">
        <f t="shared" ca="1" si="18"/>
        <v>17</v>
      </c>
      <c r="G57">
        <f t="shared" ca="1" si="18"/>
        <v>18</v>
      </c>
      <c r="H57">
        <f t="shared" ca="1" si="18"/>
        <v>20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21.454545454545453</v>
      </c>
    </row>
    <row r="60" spans="1:14" x14ac:dyDescent="0.3">
      <c r="N60" s="1"/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45"/>
  <sheetViews>
    <sheetView topLeftCell="A19" workbookViewId="0">
      <selection activeCell="P46" sqref="P46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20.672727272727276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24</v>
      </c>
      <c r="F3">
        <f t="shared" ca="1" si="0"/>
        <v>24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24</v>
      </c>
      <c r="F6">
        <f t="shared" ca="1" si="1"/>
        <v>24</v>
      </c>
      <c r="G6">
        <f t="shared" ca="1" si="1"/>
        <v>19</v>
      </c>
      <c r="H6">
        <f t="shared" ca="1" si="1"/>
        <v>21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21.181818181818183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24</v>
      </c>
      <c r="F9">
        <f t="shared" ca="1" si="2"/>
        <v>24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24</v>
      </c>
      <c r="F12">
        <f t="shared" ca="1" si="3"/>
        <v>24</v>
      </c>
      <c r="G12">
        <f t="shared" ca="1" si="3"/>
        <v>21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20.90909090909091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24</v>
      </c>
      <c r="F15">
        <f t="shared" ca="1" si="5"/>
        <v>24</v>
      </c>
      <c r="G15">
        <f t="shared" ca="1" si="5"/>
        <v>21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20.727272727272727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24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20.272727272727273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24</v>
      </c>
      <c r="G21">
        <f t="shared" ca="1" si="7"/>
        <v>24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20.181818181818183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24</v>
      </c>
      <c r="G24">
        <f t="shared" ca="1" si="8"/>
        <v>24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20.454545454545453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24</v>
      </c>
      <c r="G27">
        <f t="shared" ca="1" si="9"/>
        <v>24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20.727272727272727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24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20.454545454545453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24</v>
      </c>
      <c r="G33">
        <f t="shared" ca="1" si="11"/>
        <v>24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20.727272727272727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24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20.454545454545453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21</v>
      </c>
      <c r="D39">
        <f t="shared" ca="1" si="13"/>
        <v>20</v>
      </c>
      <c r="E39">
        <f t="shared" ca="1" si="13"/>
        <v>20</v>
      </c>
      <c r="F39">
        <f t="shared" ca="1" si="13"/>
        <v>24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20.454545454545453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24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20</v>
      </c>
      <c r="K42">
        <f t="shared" ca="1" si="14"/>
        <v>21</v>
      </c>
      <c r="L42">
        <f t="shared" ca="1" si="14"/>
        <v>19</v>
      </c>
      <c r="N42" s="1">
        <f ca="1">AVERAGE(B42:L42)</f>
        <v>20.636363636363637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24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20.90909090909091</v>
      </c>
      <c r="P45" t="s">
        <v>267</v>
      </c>
      <c r="Q45" s="6">
        <v>37955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3" workbookViewId="0">
      <selection activeCell="Q42" sqref="Q42"/>
    </sheetView>
  </sheetViews>
  <sheetFormatPr baseColWidth="10" defaultRowHeight="14.4" x14ac:dyDescent="0.3"/>
  <cols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19.646464646464644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19</v>
      </c>
      <c r="L3">
        <f t="shared" ca="1" si="0"/>
        <v>21</v>
      </c>
      <c r="N3" s="1">
        <f ca="1">AVERAGE(B3:M3)</f>
        <v>19.636363636363637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17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17</v>
      </c>
      <c r="K18">
        <f t="shared" ca="1" si="5"/>
        <v>25</v>
      </c>
      <c r="L18">
        <f t="shared" ca="1" si="5"/>
        <v>21</v>
      </c>
      <c r="N18" s="1">
        <f ca="1">AVERAGE(B18:M18)</f>
        <v>19.90909090909091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17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19.454545454545453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17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19.181818181818183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17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19.272727272727273</v>
      </c>
    </row>
    <row r="53" spans="1:15" x14ac:dyDescent="0.3">
      <c r="A53" t="s">
        <v>204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62" spans="1:15" x14ac:dyDescent="0.3">
      <c r="N62"/>
      <c r="O62" s="1"/>
    </row>
    <row r="63" spans="1:15" x14ac:dyDescent="0.3">
      <c r="O63" s="1"/>
    </row>
    <row r="65" spans="14:14" x14ac:dyDescent="0.3">
      <c r="N65"/>
    </row>
    <row r="68" spans="14:14" x14ac:dyDescent="0.3">
      <c r="N68"/>
    </row>
    <row r="71" spans="14:14" x14ac:dyDescent="0.3">
      <c r="N71"/>
    </row>
    <row r="74" spans="14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31" workbookViewId="0">
      <selection activeCell="P47" sqref="P47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6" max="16" width="14.21875" customWidth="1"/>
  </cols>
  <sheetData>
    <row r="1" spans="1:14" x14ac:dyDescent="0.3">
      <c r="N1" s="1">
        <f ca="1">AVERAGE(N3:N99)</f>
        <v>19.373737373737374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19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19.363636363636363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19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19.545454545454547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19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19.636363636363637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19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19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19.454545454545453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19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19.363636363636363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19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19.363636363636363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19</v>
      </c>
      <c r="N33" s="1">
        <f ca="1">AVERAGE(B33:M33)</f>
        <v>19.272727272727273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19</v>
      </c>
      <c r="N36" s="1">
        <f ca="1">AVERAGE(B36:M36)</f>
        <v>19.363636363636363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19</v>
      </c>
      <c r="N39" s="1">
        <f ca="1">AVERAGE(B39:M39)</f>
        <v>19.454545454545453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19</v>
      </c>
      <c r="N42" s="1">
        <f ca="1">AVERAGE(B42:M42)</f>
        <v>19.181818181818183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20</v>
      </c>
      <c r="K45">
        <f t="shared" ca="1" si="14"/>
        <v>19</v>
      </c>
      <c r="L45">
        <f t="shared" ca="1" si="14"/>
        <v>19</v>
      </c>
      <c r="N45" s="1">
        <f ca="1">AVERAGE(B45:M45)</f>
        <v>19.454545454545453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19</v>
      </c>
      <c r="N48" s="1">
        <f ca="1">AVERAGE(B48:L48)</f>
        <v>19.363636363636363</v>
      </c>
    </row>
    <row r="50" spans="1:14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4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19</v>
      </c>
      <c r="N51" s="1">
        <f ca="1">AVERAGE(B51:L51)</f>
        <v>19.272727272727273</v>
      </c>
    </row>
    <row r="53" spans="1:14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20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18.90909090909091</v>
      </c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workbookViewId="0">
      <selection activeCell="G54" sqref="G54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20.689839572192511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20.363636363636363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20</v>
      </c>
      <c r="I18">
        <f t="shared" ca="1" si="5"/>
        <v>17</v>
      </c>
      <c r="J18">
        <f t="shared" ca="1" si="5"/>
        <v>19</v>
      </c>
      <c r="K18">
        <f t="shared" ca="1" si="5"/>
        <v>26</v>
      </c>
      <c r="L18">
        <f t="shared" ca="1" si="5"/>
        <v>18</v>
      </c>
      <c r="N18" s="1">
        <f ca="1">AVERAGE(B18:M18)</f>
        <v>20.09090909090909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20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21.09090909090909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19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20.727272727272727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19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20.818181818181817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19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20.727272727272727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19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20.727272727272727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20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21.636363636363637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19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20.454545454545453</v>
      </c>
    </row>
    <row r="53" spans="1:14" x14ac:dyDescent="0.3">
      <c r="N53" s="1"/>
    </row>
    <row r="54" spans="1:14" x14ac:dyDescent="0.3">
      <c r="N54" s="1"/>
    </row>
    <row r="56" spans="1:14" x14ac:dyDescent="0.3">
      <c r="N56" s="1"/>
    </row>
    <row r="57" spans="1:14" x14ac:dyDescent="0.3">
      <c r="N57" s="1"/>
    </row>
    <row r="59" spans="1:14" x14ac:dyDescent="0.3">
      <c r="N59" s="1"/>
    </row>
    <row r="60" spans="1:14" x14ac:dyDescent="0.3">
      <c r="N60" s="1"/>
    </row>
    <row r="62" spans="1:14" x14ac:dyDescent="0.3">
      <c r="N62" s="1"/>
    </row>
    <row r="63" spans="1:14" x14ac:dyDescent="0.3">
      <c r="N63" s="1"/>
    </row>
    <row r="65" spans="14:14" x14ac:dyDescent="0.3">
      <c r="N65" s="1"/>
    </row>
    <row r="66" spans="14:14" x14ac:dyDescent="0.3">
      <c r="N66" s="1"/>
    </row>
    <row r="68" spans="14:14" x14ac:dyDescent="0.3">
      <c r="N68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  <row r="74" spans="14:14" x14ac:dyDescent="0.3">
      <c r="N74" s="1"/>
    </row>
    <row r="75" spans="14:14" x14ac:dyDescent="0.3">
      <c r="N75" s="1"/>
    </row>
    <row r="77" spans="14:14" x14ac:dyDescent="0.3">
      <c r="N77" s="1"/>
    </row>
    <row r="78" spans="14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2026-02-28T10:39:09Z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