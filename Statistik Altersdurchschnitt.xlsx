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637" documentId="8_{B13851A0-BF92-44E0-9E4C-BF4EA78055B0}" xr6:coauthVersionLast="47" xr6:coauthVersionMax="47" xr10:uidLastSave="{53BE24C3-7F27-4ACA-8649-E6D1BC3D3F7F}"/>
  <bookViews>
    <workbookView xWindow="-108" yWindow="-108" windowWidth="23256" windowHeight="12456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5" i="7" l="1"/>
  <c r="K75" i="7"/>
  <c r="J75" i="7"/>
  <c r="I75" i="7"/>
  <c r="H75" i="7"/>
  <c r="G75" i="7"/>
  <c r="F75" i="7"/>
  <c r="E75" i="7"/>
  <c r="D75" i="7"/>
  <c r="C75" i="7"/>
  <c r="B75" i="7"/>
  <c r="L78" i="8"/>
  <c r="K78" i="8"/>
  <c r="J78" i="8"/>
  <c r="I78" i="8"/>
  <c r="H78" i="8"/>
  <c r="G78" i="8"/>
  <c r="F78" i="8"/>
  <c r="E78" i="8"/>
  <c r="D78" i="8"/>
  <c r="C78" i="8"/>
  <c r="B78" i="8"/>
  <c r="L66" i="5"/>
  <c r="K66" i="5"/>
  <c r="J66" i="5"/>
  <c r="I66" i="5"/>
  <c r="H66" i="5"/>
  <c r="G66" i="5"/>
  <c r="F66" i="5"/>
  <c r="E66" i="5"/>
  <c r="D66" i="5"/>
  <c r="C66" i="5"/>
  <c r="B66" i="5"/>
  <c r="B30" i="4"/>
  <c r="C30" i="4"/>
  <c r="D30" i="4"/>
  <c r="E30" i="4"/>
  <c r="F30" i="4"/>
  <c r="G30" i="4"/>
  <c r="H30" i="4"/>
  <c r="I30" i="4"/>
  <c r="J30" i="4"/>
  <c r="K30" i="4"/>
  <c r="L30" i="4"/>
  <c r="L69" i="2"/>
  <c r="K69" i="2"/>
  <c r="J69" i="2"/>
  <c r="I69" i="2"/>
  <c r="H69" i="2"/>
  <c r="G69" i="2"/>
  <c r="F69" i="2"/>
  <c r="E69" i="2"/>
  <c r="D69" i="2"/>
  <c r="C69" i="2"/>
  <c r="B69" i="2"/>
  <c r="L69" i="3"/>
  <c r="K69" i="3"/>
  <c r="J69" i="3"/>
  <c r="I69" i="3"/>
  <c r="H69" i="3"/>
  <c r="G69" i="3"/>
  <c r="F69" i="3"/>
  <c r="E69" i="3"/>
  <c r="D69" i="3"/>
  <c r="C69" i="3"/>
  <c r="B69" i="3"/>
  <c r="L75" i="4"/>
  <c r="K75" i="4"/>
  <c r="J75" i="4"/>
  <c r="I75" i="4"/>
  <c r="H75" i="4"/>
  <c r="G75" i="4"/>
  <c r="F75" i="4"/>
  <c r="E75" i="4"/>
  <c r="D75" i="4"/>
  <c r="C75" i="4"/>
  <c r="B75" i="4"/>
  <c r="L78" i="9"/>
  <c r="K78" i="9"/>
  <c r="J78" i="9"/>
  <c r="I78" i="9"/>
  <c r="H78" i="9"/>
  <c r="G78" i="9"/>
  <c r="F78" i="9"/>
  <c r="E78" i="9"/>
  <c r="D78" i="9"/>
  <c r="C78" i="9"/>
  <c r="B78" i="9"/>
  <c r="L75" i="8"/>
  <c r="K75" i="8"/>
  <c r="J75" i="8"/>
  <c r="I75" i="8"/>
  <c r="H75" i="8"/>
  <c r="G75" i="8"/>
  <c r="F75" i="8"/>
  <c r="E75" i="8"/>
  <c r="D75" i="8"/>
  <c r="C75" i="8"/>
  <c r="B75" i="8"/>
  <c r="L63" i="5"/>
  <c r="K63" i="5"/>
  <c r="J63" i="5"/>
  <c r="I63" i="5"/>
  <c r="H63" i="5"/>
  <c r="G63" i="5"/>
  <c r="F63" i="5"/>
  <c r="E63" i="5"/>
  <c r="D63" i="5"/>
  <c r="C63" i="5"/>
  <c r="B63" i="5"/>
  <c r="L66" i="3"/>
  <c r="K66" i="3"/>
  <c r="J66" i="3"/>
  <c r="I66" i="3"/>
  <c r="H66" i="3"/>
  <c r="G66" i="3"/>
  <c r="F66" i="3"/>
  <c r="E66" i="3"/>
  <c r="D66" i="3"/>
  <c r="C66" i="3"/>
  <c r="B66" i="3"/>
  <c r="L69" i="1"/>
  <c r="K69" i="1"/>
  <c r="J69" i="1"/>
  <c r="I69" i="1"/>
  <c r="H69" i="1"/>
  <c r="G69" i="1"/>
  <c r="F69" i="1"/>
  <c r="E69" i="1"/>
  <c r="D69" i="1"/>
  <c r="C69" i="1"/>
  <c r="B69" i="1"/>
  <c r="L66" i="1"/>
  <c r="K66" i="1"/>
  <c r="J66" i="1"/>
  <c r="I66" i="1"/>
  <c r="H66" i="1"/>
  <c r="G66" i="1"/>
  <c r="F66" i="1"/>
  <c r="E66" i="1"/>
  <c r="D66" i="1"/>
  <c r="C66" i="1"/>
  <c r="B66" i="1"/>
  <c r="L72" i="7"/>
  <c r="K72" i="7"/>
  <c r="J72" i="7"/>
  <c r="I72" i="7"/>
  <c r="H72" i="7"/>
  <c r="G72" i="7"/>
  <c r="F72" i="7"/>
  <c r="E72" i="7"/>
  <c r="D72" i="7"/>
  <c r="C72" i="7"/>
  <c r="B72" i="7"/>
  <c r="L75" i="9"/>
  <c r="K75" i="9"/>
  <c r="J75" i="9"/>
  <c r="I75" i="9"/>
  <c r="H75" i="9"/>
  <c r="G75" i="9"/>
  <c r="F75" i="9"/>
  <c r="E75" i="9"/>
  <c r="D75" i="9"/>
  <c r="C75" i="9"/>
  <c r="B75" i="9"/>
  <c r="L66" i="2"/>
  <c r="K66" i="2"/>
  <c r="J66" i="2"/>
  <c r="I66" i="2"/>
  <c r="H66" i="2"/>
  <c r="G66" i="2"/>
  <c r="F66" i="2"/>
  <c r="E66" i="2"/>
  <c r="D66" i="2"/>
  <c r="C66" i="2"/>
  <c r="B66" i="2"/>
  <c r="L60" i="5"/>
  <c r="K60" i="5"/>
  <c r="J60" i="5"/>
  <c r="I60" i="5"/>
  <c r="H60" i="5"/>
  <c r="G60" i="5"/>
  <c r="F60" i="5"/>
  <c r="E60" i="5"/>
  <c r="D60" i="5"/>
  <c r="C60" i="5"/>
  <c r="B60" i="5"/>
  <c r="L72" i="8"/>
  <c r="K72" i="8"/>
  <c r="J72" i="8"/>
  <c r="I72" i="8"/>
  <c r="H72" i="8"/>
  <c r="G72" i="8"/>
  <c r="F72" i="8"/>
  <c r="E72" i="8"/>
  <c r="D72" i="8"/>
  <c r="C72" i="8"/>
  <c r="B72" i="8"/>
  <c r="L72" i="9"/>
  <c r="K72" i="9"/>
  <c r="J72" i="9"/>
  <c r="I72" i="9"/>
  <c r="H72" i="9"/>
  <c r="G72" i="9"/>
  <c r="F72" i="9"/>
  <c r="E72" i="9"/>
  <c r="D72" i="9"/>
  <c r="C72" i="9"/>
  <c r="B72" i="9"/>
  <c r="L72" i="4"/>
  <c r="K72" i="4"/>
  <c r="J72" i="4"/>
  <c r="I72" i="4"/>
  <c r="H72" i="4"/>
  <c r="G72" i="4"/>
  <c r="F72" i="4"/>
  <c r="E72" i="4"/>
  <c r="D72" i="4"/>
  <c r="C72" i="4"/>
  <c r="B72" i="4"/>
  <c r="L69" i="7"/>
  <c r="K69" i="7"/>
  <c r="J69" i="7"/>
  <c r="I69" i="7"/>
  <c r="H69" i="7"/>
  <c r="G69" i="7"/>
  <c r="F69" i="7"/>
  <c r="E69" i="7"/>
  <c r="D69" i="7"/>
  <c r="C69" i="7"/>
  <c r="B69" i="7"/>
  <c r="L69" i="4"/>
  <c r="K69" i="4"/>
  <c r="J69" i="4"/>
  <c r="I69" i="4"/>
  <c r="H69" i="4"/>
  <c r="G69" i="4"/>
  <c r="F69" i="4"/>
  <c r="E69" i="4"/>
  <c r="D69" i="4"/>
  <c r="C69" i="4"/>
  <c r="B69" i="4"/>
  <c r="L69" i="9"/>
  <c r="K69" i="9"/>
  <c r="J69" i="9"/>
  <c r="I69" i="9"/>
  <c r="H69" i="9"/>
  <c r="G69" i="9"/>
  <c r="F69" i="9"/>
  <c r="E69" i="9"/>
  <c r="D69" i="9"/>
  <c r="C69" i="9"/>
  <c r="B69" i="9"/>
  <c r="L69" i="8"/>
  <c r="K69" i="8"/>
  <c r="J69" i="8"/>
  <c r="I69" i="8"/>
  <c r="H69" i="8"/>
  <c r="G69" i="8"/>
  <c r="F69" i="8"/>
  <c r="E69" i="8"/>
  <c r="D69" i="8"/>
  <c r="C69" i="8"/>
  <c r="B69" i="8"/>
  <c r="L63" i="1"/>
  <c r="K63" i="1"/>
  <c r="J63" i="1"/>
  <c r="I63" i="1"/>
  <c r="H63" i="1"/>
  <c r="G63" i="1"/>
  <c r="F63" i="1"/>
  <c r="E63" i="1"/>
  <c r="D63" i="1"/>
  <c r="C63" i="1"/>
  <c r="B63" i="1"/>
  <c r="L57" i="5"/>
  <c r="K57" i="5"/>
  <c r="J57" i="5"/>
  <c r="I57" i="5"/>
  <c r="H57" i="5"/>
  <c r="G57" i="5"/>
  <c r="F57" i="5"/>
  <c r="E57" i="5"/>
  <c r="D57" i="5"/>
  <c r="C57" i="5"/>
  <c r="B57" i="5"/>
  <c r="L63" i="3"/>
  <c r="K63" i="3"/>
  <c r="J63" i="3"/>
  <c r="I63" i="3"/>
  <c r="H63" i="3"/>
  <c r="G63" i="3"/>
  <c r="F63" i="3"/>
  <c r="E63" i="3"/>
  <c r="D63" i="3"/>
  <c r="C63" i="3"/>
  <c r="B63" i="3"/>
  <c r="L63" i="2"/>
  <c r="K63" i="2"/>
  <c r="J63" i="2"/>
  <c r="I63" i="2"/>
  <c r="H63" i="2"/>
  <c r="G63" i="2"/>
  <c r="F63" i="2"/>
  <c r="E63" i="2"/>
  <c r="D63" i="2"/>
  <c r="C63" i="2"/>
  <c r="B63" i="2"/>
  <c r="L60" i="3"/>
  <c r="K60" i="3"/>
  <c r="J60" i="3"/>
  <c r="I60" i="3"/>
  <c r="H60" i="3"/>
  <c r="G60" i="3"/>
  <c r="F60" i="3"/>
  <c r="E60" i="3"/>
  <c r="D60" i="3"/>
  <c r="C60" i="3"/>
  <c r="B60" i="3"/>
  <c r="L60" i="1"/>
  <c r="K60" i="1"/>
  <c r="J60" i="1"/>
  <c r="I60" i="1"/>
  <c r="H60" i="1"/>
  <c r="G60" i="1"/>
  <c r="F60" i="1"/>
  <c r="E60" i="1"/>
  <c r="D60" i="1"/>
  <c r="C60" i="1"/>
  <c r="B60" i="1"/>
  <c r="L60" i="2"/>
  <c r="K60" i="2"/>
  <c r="J60" i="2"/>
  <c r="I60" i="2"/>
  <c r="H60" i="2"/>
  <c r="G60" i="2"/>
  <c r="F60" i="2"/>
  <c r="E60" i="2"/>
  <c r="D60" i="2"/>
  <c r="C60" i="2"/>
  <c r="B60" i="2"/>
  <c r="L66" i="8"/>
  <c r="K66" i="8"/>
  <c r="J66" i="8"/>
  <c r="I66" i="8"/>
  <c r="H66" i="8"/>
  <c r="G66" i="8"/>
  <c r="F66" i="8"/>
  <c r="E66" i="8"/>
  <c r="D66" i="8"/>
  <c r="C66" i="8"/>
  <c r="B66" i="8"/>
  <c r="L66" i="4"/>
  <c r="K66" i="4"/>
  <c r="J66" i="4"/>
  <c r="I66" i="4"/>
  <c r="H66" i="4"/>
  <c r="G66" i="4"/>
  <c r="F66" i="4"/>
  <c r="E66" i="4"/>
  <c r="D66" i="4"/>
  <c r="C66" i="4"/>
  <c r="B66" i="4"/>
  <c r="L54" i="5"/>
  <c r="K54" i="5"/>
  <c r="J54" i="5"/>
  <c r="I54" i="5"/>
  <c r="H54" i="5"/>
  <c r="G54" i="5"/>
  <c r="F54" i="5"/>
  <c r="E54" i="5"/>
  <c r="D54" i="5"/>
  <c r="C54" i="5"/>
  <c r="B54" i="5"/>
  <c r="L66" i="9"/>
  <c r="K66" i="9"/>
  <c r="J66" i="9"/>
  <c r="I66" i="9"/>
  <c r="H66" i="9"/>
  <c r="G66" i="9"/>
  <c r="F66" i="9"/>
  <c r="E66" i="9"/>
  <c r="D66" i="9"/>
  <c r="C66" i="9"/>
  <c r="B66" i="9"/>
  <c r="L66" i="7"/>
  <c r="K66" i="7"/>
  <c r="J66" i="7"/>
  <c r="I66" i="7"/>
  <c r="H66" i="7"/>
  <c r="G66" i="7"/>
  <c r="F66" i="7"/>
  <c r="E66" i="7"/>
  <c r="D66" i="7"/>
  <c r="C66" i="7"/>
  <c r="B66" i="7"/>
  <c r="L57" i="1"/>
  <c r="K57" i="1"/>
  <c r="J57" i="1"/>
  <c r="I57" i="1"/>
  <c r="H57" i="1"/>
  <c r="G57" i="1"/>
  <c r="F57" i="1"/>
  <c r="E57" i="1"/>
  <c r="D57" i="1"/>
  <c r="C57" i="1"/>
  <c r="B57" i="1"/>
  <c r="L57" i="2"/>
  <c r="K57" i="2"/>
  <c r="J57" i="2"/>
  <c r="I57" i="2"/>
  <c r="H57" i="2"/>
  <c r="G57" i="2"/>
  <c r="F57" i="2"/>
  <c r="E57" i="2"/>
  <c r="D57" i="2"/>
  <c r="C57" i="2"/>
  <c r="B57" i="2"/>
  <c r="L54" i="2"/>
  <c r="K54" i="2"/>
  <c r="J54" i="2"/>
  <c r="I54" i="2"/>
  <c r="H54" i="2"/>
  <c r="G54" i="2"/>
  <c r="F54" i="2"/>
  <c r="E54" i="2"/>
  <c r="D54" i="2"/>
  <c r="C54" i="2"/>
  <c r="B54" i="2"/>
  <c r="L57" i="3"/>
  <c r="K57" i="3"/>
  <c r="J57" i="3"/>
  <c r="I57" i="3"/>
  <c r="H57" i="3"/>
  <c r="G57" i="3"/>
  <c r="F57" i="3"/>
  <c r="E57" i="3"/>
  <c r="D57" i="3"/>
  <c r="C57" i="3"/>
  <c r="B57" i="3"/>
  <c r="L54" i="3"/>
  <c r="K54" i="3"/>
  <c r="J54" i="3"/>
  <c r="I54" i="3"/>
  <c r="H54" i="3"/>
  <c r="G54" i="3"/>
  <c r="F54" i="3"/>
  <c r="E54" i="3"/>
  <c r="D54" i="3"/>
  <c r="C54" i="3"/>
  <c r="B54" i="3"/>
  <c r="L51" i="5"/>
  <c r="K51" i="5"/>
  <c r="J51" i="5"/>
  <c r="I51" i="5"/>
  <c r="H51" i="5"/>
  <c r="G51" i="5"/>
  <c r="F51" i="5"/>
  <c r="E51" i="5"/>
  <c r="D51" i="5"/>
  <c r="C51" i="5"/>
  <c r="B51" i="5"/>
  <c r="L63" i="4"/>
  <c r="K63" i="4"/>
  <c r="J63" i="4"/>
  <c r="I63" i="4"/>
  <c r="H63" i="4"/>
  <c r="G63" i="4"/>
  <c r="F63" i="4"/>
  <c r="E63" i="4"/>
  <c r="D63" i="4"/>
  <c r="C63" i="4"/>
  <c r="B63" i="4"/>
  <c r="L54" i="1"/>
  <c r="K54" i="1"/>
  <c r="J54" i="1"/>
  <c r="I54" i="1"/>
  <c r="H54" i="1"/>
  <c r="G54" i="1"/>
  <c r="F54" i="1"/>
  <c r="E54" i="1"/>
  <c r="D54" i="1"/>
  <c r="C54" i="1"/>
  <c r="B54" i="1"/>
  <c r="L51" i="2"/>
  <c r="K51" i="2"/>
  <c r="J51" i="2"/>
  <c r="I51" i="2"/>
  <c r="H51" i="2"/>
  <c r="G51" i="2"/>
  <c r="F51" i="2"/>
  <c r="E51" i="2"/>
  <c r="D51" i="2"/>
  <c r="C51" i="2"/>
  <c r="B51" i="2"/>
  <c r="L63" i="8"/>
  <c r="K63" i="8"/>
  <c r="J63" i="8"/>
  <c r="I63" i="8"/>
  <c r="H63" i="8"/>
  <c r="G63" i="8"/>
  <c r="F63" i="8"/>
  <c r="E63" i="8"/>
  <c r="D63" i="8"/>
  <c r="C63" i="8"/>
  <c r="B63" i="8"/>
  <c r="L63" i="7"/>
  <c r="K63" i="7"/>
  <c r="J63" i="7"/>
  <c r="I63" i="7"/>
  <c r="H63" i="7"/>
  <c r="G63" i="7"/>
  <c r="F63" i="7"/>
  <c r="E63" i="7"/>
  <c r="D63" i="7"/>
  <c r="C63" i="7"/>
  <c r="B63" i="7"/>
  <c r="L63" i="9"/>
  <c r="K63" i="9"/>
  <c r="J63" i="9"/>
  <c r="I63" i="9"/>
  <c r="H63" i="9"/>
  <c r="G63" i="9"/>
  <c r="F63" i="9"/>
  <c r="E63" i="9"/>
  <c r="D63" i="9"/>
  <c r="C63" i="9"/>
  <c r="B63" i="9"/>
  <c r="L60" i="7"/>
  <c r="K60" i="7"/>
  <c r="J60" i="7"/>
  <c r="I60" i="7"/>
  <c r="H60" i="7"/>
  <c r="G60" i="7"/>
  <c r="F60" i="7"/>
  <c r="E60" i="7"/>
  <c r="D60" i="7"/>
  <c r="C60" i="7"/>
  <c r="B60" i="7"/>
  <c r="L60" i="8"/>
  <c r="K60" i="8"/>
  <c r="J60" i="8"/>
  <c r="I60" i="8"/>
  <c r="H60" i="8"/>
  <c r="G60" i="8"/>
  <c r="F60" i="8"/>
  <c r="E60" i="8"/>
  <c r="D60" i="8"/>
  <c r="C60" i="8"/>
  <c r="B60" i="8"/>
  <c r="L51" i="3"/>
  <c r="K51" i="3"/>
  <c r="J51" i="3"/>
  <c r="I51" i="3"/>
  <c r="H51" i="3"/>
  <c r="G51" i="3"/>
  <c r="F51" i="3"/>
  <c r="E51" i="3"/>
  <c r="D51" i="3"/>
  <c r="C51" i="3"/>
  <c r="B51" i="3"/>
  <c r="L60" i="4"/>
  <c r="K60" i="4"/>
  <c r="J60" i="4"/>
  <c r="I60" i="4"/>
  <c r="H60" i="4"/>
  <c r="G60" i="4"/>
  <c r="F60" i="4"/>
  <c r="E60" i="4"/>
  <c r="D60" i="4"/>
  <c r="C60" i="4"/>
  <c r="B60" i="4"/>
  <c r="L60" i="9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Y6" i="11" a="1"/>
  <c r="Y3" i="11" a="1"/>
  <c r="AA5" i="11" a="1"/>
  <c r="Y4" i="11" a="1"/>
  <c r="AA2" i="11" a="1"/>
  <c r="Z3" i="11" a="1"/>
  <c r="AA4" i="11" a="1"/>
  <c r="Z2" i="11" a="1"/>
  <c r="Y2" i="11" a="1"/>
  <c r="AA6" i="11" a="1"/>
  <c r="X4" i="11" a="1"/>
  <c r="AA8" i="11" a="1"/>
  <c r="Z4" i="11" a="1"/>
  <c r="AA3" i="11" a="1"/>
  <c r="Z6" i="11" a="1"/>
  <c r="N75" i="7" l="1"/>
  <c r="N78" i="8"/>
  <c r="N66" i="5"/>
  <c r="N30" i="4"/>
  <c r="N69" i="2"/>
  <c r="N69" i="3"/>
  <c r="N75" i="4"/>
  <c r="N78" i="9"/>
  <c r="N75" i="8"/>
  <c r="Z6" i="11"/>
  <c r="X4" i="11"/>
  <c r="AA8" i="11"/>
  <c r="Y6" i="11"/>
  <c r="AA2" i="11"/>
  <c r="AA3" i="11"/>
  <c r="Z2" i="11"/>
  <c r="AA4" i="11"/>
  <c r="Z3" i="11"/>
  <c r="Y2" i="11"/>
  <c r="AA5" i="11"/>
  <c r="Z4" i="11"/>
  <c r="Y3" i="11"/>
  <c r="AA6" i="11"/>
  <c r="Y4" i="11"/>
  <c r="N63" i="5"/>
  <c r="N66" i="3"/>
  <c r="N69" i="1"/>
  <c r="N66" i="1"/>
  <c r="N72" i="7"/>
  <c r="N75" i="9"/>
  <c r="N66" i="2"/>
  <c r="N60" i="5"/>
  <c r="N72" i="8"/>
  <c r="N72" i="9"/>
  <c r="N72" i="4"/>
  <c r="N69" i="7"/>
  <c r="N69" i="4"/>
  <c r="N69" i="9"/>
  <c r="N69" i="8"/>
  <c r="N63" i="1"/>
  <c r="N57" i="5"/>
  <c r="N63" i="3"/>
  <c r="N63" i="2"/>
  <c r="N60" i="3"/>
  <c r="N60" i="1"/>
  <c r="N60" i="2"/>
  <c r="N66" i="8"/>
  <c r="N66" i="4"/>
  <c r="N54" i="5"/>
  <c r="N66" i="9"/>
  <c r="N66" i="7"/>
  <c r="N57" i="1"/>
  <c r="N57" i="2"/>
  <c r="N54" i="2"/>
  <c r="N57" i="3"/>
  <c r="N54" i="3"/>
  <c r="N51" i="5"/>
  <c r="N63" i="4"/>
  <c r="N54" i="1"/>
  <c r="N51" i="2"/>
  <c r="N63" i="8"/>
  <c r="N63" i="7"/>
  <c r="N63" i="9"/>
  <c r="N60" i="7"/>
  <c r="N60" i="8"/>
  <c r="N51" i="3"/>
  <c r="N60" i="4"/>
  <c r="N60" i="9"/>
  <c r="N57" i="7"/>
  <c r="N57" i="8"/>
  <c r="N51" i="1"/>
  <c r="N57" i="9"/>
  <c r="N54" i="8"/>
  <c r="N48" i="3"/>
  <c r="N54" i="7"/>
  <c r="N54" i="9"/>
  <c r="N57" i="4"/>
  <c r="N54" i="4"/>
  <c r="N48" i="2"/>
  <c r="N48" i="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Z8" i="11" a="1"/>
  <c r="AA9" i="11" a="1"/>
  <c r="Q2" i="11" a="1"/>
  <c r="B7" i="11" a="1"/>
  <c r="F3" i="11" a="1"/>
  <c r="R6" i="11" a="1"/>
  <c r="S4" i="11" a="1"/>
  <c r="E4" i="11" a="1"/>
  <c r="L8" i="11" a="1"/>
  <c r="E2" i="11" a="1"/>
  <c r="N6" i="11" a="1"/>
  <c r="H4" i="11" a="1"/>
  <c r="M6" i="11" a="1"/>
  <c r="G5" i="11" a="1"/>
  <c r="W5" i="11" a="1"/>
  <c r="N9" i="11" a="1"/>
  <c r="B5" i="11" a="1"/>
  <c r="T9" i="11" a="1"/>
  <c r="S7" i="11" a="1"/>
  <c r="R8" i="11" a="1"/>
  <c r="Q5" i="11" a="1"/>
  <c r="U4" i="11" a="1"/>
  <c r="C3" i="11" a="1"/>
  <c r="I6" i="11" a="1"/>
  <c r="W3" i="11" a="1"/>
  <c r="D5" i="11" a="1"/>
  <c r="B6" i="11" a="1"/>
  <c r="K8" i="11" a="1"/>
  <c r="T7" i="11" a="1"/>
  <c r="D4" i="11" a="1"/>
  <c r="K3" i="11" a="1"/>
  <c r="D8" i="11" a="1"/>
  <c r="I7" i="11" a="1"/>
  <c r="X9" i="11" a="1"/>
  <c r="V3" i="11" a="1"/>
  <c r="Q7" i="11" a="1"/>
  <c r="O3" i="11" a="1"/>
  <c r="W4" i="11" a="1"/>
  <c r="P6" i="11" a="1"/>
  <c r="L2" i="11" a="1"/>
  <c r="Q8" i="11" a="1"/>
  <c r="O2" i="11" a="1"/>
  <c r="U7" i="11" a="1"/>
  <c r="O6" i="11" a="1"/>
  <c r="J8" i="11" a="1"/>
  <c r="I5" i="11" a="1"/>
  <c r="S2" i="11" a="1"/>
  <c r="F9" i="11" a="1"/>
  <c r="H9" i="11" a="1"/>
  <c r="B9" i="11" a="1"/>
  <c r="F2" i="11" a="1"/>
  <c r="D9" i="11" a="1"/>
  <c r="W7" i="11" a="1"/>
  <c r="Y7" i="11" a="1"/>
  <c r="O8" i="11" a="1"/>
  <c r="F7" i="11" a="1"/>
  <c r="I2" i="11" a="1"/>
  <c r="T6" i="11" a="1"/>
  <c r="V5" i="11" a="1"/>
  <c r="P4" i="11" a="1"/>
  <c r="O9" i="11" a="1"/>
  <c r="C4" i="11" a="1"/>
  <c r="N5" i="11" a="1"/>
  <c r="T2" i="11" a="1"/>
  <c r="C6" i="11" a="1"/>
  <c r="U9" i="11" a="1"/>
  <c r="G2" i="11" a="1"/>
  <c r="D3" i="11" a="1"/>
  <c r="W6" i="11" a="1"/>
  <c r="T5" i="11" a="1"/>
  <c r="J6" i="11" a="1"/>
  <c r="X6" i="11" a="1"/>
  <c r="H2" i="11" a="1"/>
  <c r="I8" i="11" a="1"/>
  <c r="I4" i="11" a="1"/>
  <c r="E9" i="11" a="1"/>
  <c r="H5" i="11" a="1"/>
  <c r="F5" i="11" a="1"/>
  <c r="G9" i="11" a="1"/>
  <c r="R4" i="11" a="1"/>
  <c r="H7" i="11" a="1"/>
  <c r="N7" i="11" a="1"/>
  <c r="N8" i="11" a="1"/>
  <c r="U5" i="11" a="1"/>
  <c r="Q3" i="11" a="1"/>
  <c r="R5" i="11" a="1"/>
  <c r="J5" i="11" a="1"/>
  <c r="O4" i="11" a="1"/>
  <c r="D7" i="11" a="1"/>
  <c r="K6" i="11" a="1"/>
  <c r="G4" i="11" a="1"/>
  <c r="U2" i="11" a="1"/>
  <c r="S3" i="11" a="1"/>
  <c r="V8" i="11" a="1"/>
  <c r="C5" i="11" a="1"/>
  <c r="L6" i="11" a="1"/>
  <c r="K4" i="11" a="1"/>
  <c r="L7" i="11" a="1"/>
  <c r="C9" i="11" a="1"/>
  <c r="W2" i="11" a="1"/>
  <c r="X5" i="11" a="1"/>
  <c r="V6" i="11" a="1"/>
  <c r="O5" i="11" a="1"/>
  <c r="Z9" i="11" a="1"/>
  <c r="S6" i="11" a="1"/>
  <c r="S8" i="11" a="1"/>
  <c r="J4" i="11" a="1"/>
  <c r="B3" i="11" a="1"/>
  <c r="Y5" i="11" a="1"/>
  <c r="N4" i="11" a="1"/>
  <c r="Q6" i="11" a="1"/>
  <c r="C7" i="11" a="1"/>
  <c r="J9" i="11" a="1"/>
  <c r="G3" i="11" a="1"/>
  <c r="R7" i="11" a="1"/>
  <c r="T8" i="11" a="1"/>
  <c r="D2" i="11" a="1"/>
  <c r="M4" i="11" a="1"/>
  <c r="J7" i="11" a="1"/>
  <c r="O7" i="11" a="1"/>
  <c r="I9" i="11" a="1"/>
  <c r="V7" i="11" a="1"/>
  <c r="R3" i="11" a="1"/>
  <c r="V2" i="11" a="1"/>
  <c r="B2" i="11" a="1"/>
  <c r="C2" i="11" a="1"/>
  <c r="F8" i="11" a="1"/>
  <c r="L5" i="11" a="1"/>
  <c r="K9" i="11" a="1"/>
  <c r="J3" i="11" a="1"/>
  <c r="P8" i="11" a="1"/>
  <c r="P2" i="11" a="1"/>
  <c r="E5" i="11" a="1"/>
  <c r="U3" i="11" a="1"/>
  <c r="K7" i="11" a="1"/>
  <c r="Q9" i="11" a="1"/>
  <c r="Q4" i="11" a="1"/>
  <c r="K5" i="11" a="1"/>
  <c r="N3" i="11" a="1"/>
  <c r="G8" i="11" a="1"/>
  <c r="P7" i="11" a="1"/>
  <c r="Y9" i="11" a="1"/>
  <c r="S5" i="11" a="1"/>
  <c r="P9" i="11" a="1"/>
  <c r="E3" i="11" a="1"/>
  <c r="E7" i="11" a="1"/>
  <c r="H3" i="11" a="1"/>
  <c r="E8" i="11" a="1"/>
  <c r="C8" i="11" a="1"/>
  <c r="R9" i="11" a="1"/>
  <c r="F4" i="11" a="1"/>
  <c r="B4" i="11" a="1"/>
  <c r="G6" i="11" a="1"/>
  <c r="I3" i="11" a="1"/>
  <c r="G7" i="11" a="1"/>
  <c r="F6" i="11" a="1"/>
  <c r="W9" i="11" a="1"/>
  <c r="Z7" i="11" a="1"/>
  <c r="W8" i="11" a="1"/>
  <c r="H8" i="11" a="1"/>
  <c r="M3" i="11" a="1"/>
  <c r="T4" i="11" a="1"/>
  <c r="Y8" i="11" a="1"/>
  <c r="P5" i="11" a="1"/>
  <c r="U8" i="11" a="1"/>
  <c r="R2" i="11" a="1"/>
  <c r="V9" i="11" a="1"/>
  <c r="X8" i="11" a="1"/>
  <c r="M2" i="11" a="1"/>
  <c r="D6" i="11" a="1"/>
  <c r="T3" i="11" a="1"/>
  <c r="M5" i="11" a="1"/>
  <c r="P3" i="11" a="1"/>
  <c r="L4" i="11" a="1"/>
  <c r="M8" i="11" a="1"/>
  <c r="U6" i="11" a="1"/>
  <c r="X3" i="11" a="1"/>
  <c r="M9" i="11" a="1"/>
  <c r="B8" i="11" a="1"/>
  <c r="Z5" i="11" a="1"/>
  <c r="AA7" i="11" a="1"/>
  <c r="E6" i="11" a="1"/>
  <c r="K2" i="11" a="1"/>
  <c r="L3" i="11" a="1"/>
  <c r="V4" i="11" a="1"/>
  <c r="N2" i="11" a="1"/>
  <c r="H6" i="11" a="1"/>
  <c r="X7" i="11" a="1"/>
  <c r="S9" i="11" a="1"/>
  <c r="J2" i="11" a="1"/>
  <c r="X2" i="11" a="1"/>
  <c r="M7" i="11" a="1"/>
  <c r="L9" i="11" a="1"/>
  <c r="Z8" i="11" l="1"/>
  <c r="AA9" i="11"/>
  <c r="W4" i="11"/>
  <c r="X3" i="11"/>
  <c r="X6" i="11"/>
  <c r="Z5" i="11"/>
  <c r="AA7" i="11"/>
  <c r="Z9" i="11"/>
  <c r="W5" i="11"/>
  <c r="X8" i="11"/>
  <c r="W9" i="11"/>
  <c r="Y5" i="11"/>
  <c r="X5" i="11"/>
  <c r="Y7" i="11"/>
  <c r="W3" i="11"/>
  <c r="Y9" i="11"/>
  <c r="Z7" i="11"/>
  <c r="Y8" i="11"/>
  <c r="W2" i="11"/>
  <c r="W8" i="11"/>
  <c r="X9" i="11"/>
  <c r="X2" i="11"/>
  <c r="W7" i="11"/>
  <c r="X7" i="11"/>
  <c r="W6" i="11"/>
  <c r="V4" i="11"/>
  <c r="U4" i="11"/>
  <c r="V2" i="11"/>
  <c r="T4" i="11"/>
  <c r="V6" i="11"/>
  <c r="V3" i="11"/>
  <c r="U6" i="11"/>
  <c r="U2" i="11"/>
  <c r="U3" i="11"/>
  <c r="S4" i="11"/>
  <c r="T2" i="11"/>
  <c r="T3" i="11"/>
  <c r="S3" i="11"/>
  <c r="T6" i="11"/>
  <c r="S6" i="11"/>
  <c r="R4" i="11"/>
  <c r="V5" i="11"/>
  <c r="S2" i="11"/>
  <c r="R3" i="11"/>
  <c r="V9" i="11"/>
  <c r="V8" i="11"/>
  <c r="V7" i="11"/>
  <c r="U8" i="11"/>
  <c r="U9" i="11"/>
  <c r="R6" i="11"/>
  <c r="U5" i="11"/>
  <c r="U7" i="1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7" i="6" s="1"/>
  <c r="N1" i="7"/>
  <c r="B3" i="6" s="1"/>
  <c r="N1" i="9"/>
  <c r="B2" i="6" s="1"/>
  <c r="N1" i="3"/>
  <c r="B8" i="6" s="1"/>
  <c r="N1" i="4"/>
  <c r="B9" i="6" s="1"/>
  <c r="N1" i="2"/>
  <c r="B6" i="6" s="1"/>
  <c r="N1" i="1"/>
  <c r="B5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<sst xmlns="http://schemas.openxmlformats.org/spreadsheetml/2006/main" count="2621" uniqueCount="333">
  <si>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</si>
  <si>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</si>
  <si>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</si>
  <si>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</si>
  <si>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</si>
  <si>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</si>
  <si>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</si>
  <si>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</si>
  <si>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</si>
  <si>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</si>
  <si>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</si>
  <si>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</si>
  <si>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</si>
  <si>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</si>
  <si>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</si>
  <si>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</si>
  <si>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</si>
  <si>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</si>
  <si>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</si>
  <si>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</si>
  <si>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</si>
  <si>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</si>
  <si>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</si>
  <si>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</si>
  <si>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</si>
  <si>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</si>
  <si>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</si>
  <si>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</si>
  <si>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</si>
  <si>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</si>
  <si>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</si>
  <si>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</si>
  <si>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</si>
  <si>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</si>
  <si>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</si>
  <si>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</si>
  <si>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</si>
  <si>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</si>
  <si>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</si>
  <si>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</si>
  <si>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</si>
  <si>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</si>
  <si>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</si>
  <si>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</si>
  <si>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</si>
  <si>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</si>
  <si>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</si>
  <si>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</si>
  <si>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</si>
  <si>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</si>
  <si>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</si>
  <si>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</si>
  <si>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</si>
  <si>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</si>
  <si>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</si>
  <si>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</si>
  <si>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</si>
  <si>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</si>
  <si>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</si>
  <si>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</si>
  <si>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</si>
  <si>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</si>
  <si>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</si>
  <si>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</si>
  <si>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</si>
  <si>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</si>
  <si>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</si>
  <si>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</si>
  <si>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</si>
  <si>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</si>
  <si>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</si>
  <si>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</si>
  <si>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</si>
  <si>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</si>
  <si>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</si>
  <si>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</si>
  <si>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</si>
  <si>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</si>
  <si>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</si>
  <si>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</si>
  <si>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</si>
  <si>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</si>
  <si>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</si>
  <si>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</si>
  <si>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</si>
  <si>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</si>
  <si>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</si>
  <si>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</si>
  <si>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</si>
  <si>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</si>
  <si>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</si>
  <si>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</si>
  <si>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</si>
  <si>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</si>
  <si>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</si>
  <si>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</si>
  <si>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</si>
  <si>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</si>
  <si>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</si>
  <si>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</si>
  <si>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</si>
  <si>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</si>
  <si>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</si>
  <si>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</si>
  <si>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</si>
  <si>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</si>
  <si>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</si>
  <si>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</si>
  <si>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</si>
  <si>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</si>
  <si>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</si>
  <si>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</si>
  <si>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</si>
  <si>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</si>
  <si>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</si>
  <si>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</si>
  <si>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</si>
  <si>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</si>
  <si>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</si>
  <si>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</si>
  <si>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</si>
  <si>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</si>
  <si>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</si>
  <si>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</si>
  <si>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</si>
  <si>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</si>
  <si>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</si>
  <si>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</si>
  <si>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</si>
  <si>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</si>
  <si>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</si>
  <si>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</si>
  <si>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</si>
  <si>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</si>
  <si>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</si>
  <si>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</si>
  <si>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</si>
  <si>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</si>
  <si>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</si>
  <si>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</si>
  <si>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</si>
  <si>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</si>
  <si>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</si>
  <si>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</si>
  <si>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</si>
  <si>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</si>
  <si>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</si>
  <si>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</si>
  <si>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</si>
  <si>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</si>
  <si>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</si>
  <si>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</si>
  <si>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</si>
  <si>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</si>
  <si>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</si>
  <si>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</si>
  <si>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</si>
  <si>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</si>
  <si>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</si>
  <si>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</si>
  <si>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</si>
  <si>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</si>
  <si>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</si>
  <si>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</si>
  <si>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</si>
  <si>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</si>
  <si>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</si>
  <si>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</si>
  <si>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</si>
  <si>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</si>
  <si>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</si>
  <si>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</si>
  <si>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</si>
  <si>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</si>
  <si>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</si>
  <si>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</si>
  <si>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</si>
  <si>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</si>
  <si>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</si>
  <si>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</si>
  <si>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</si>
  <si>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</si>
  <si>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</si>
  <si>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</si>
  <si>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</si>
  <si>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</si>
  <si>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</si>
  <si>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</si>
  <si>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</si>
  <si>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</si>
  <si>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</si>
  <si>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</si>
  <si>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</si>
  <si>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</si>
  <si>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</si>
  <si>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</si>
  <si>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</si>
  <si>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</si>
  <si>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</si>
  <si>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</si>
  <si>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</si>
  <si>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</si>
  <si>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</si>
  <si>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</si>
  <si>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</si>
  <si>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</si>
  <si>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</si>
  <si>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</si>
  <si>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</si>
  <si>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</si>
  <si>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</si>
  <si>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</si>
  <si>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</si>
  <si>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</si>
  <si>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</si>
  <si>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</si>
  <si>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</si>
  <si>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</si>
  <si>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</si>
  <si>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</si>
  <si>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</si>
  <si>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</si>
  <si>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</si>
  <si>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</si>
  <si>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</si>
  <si>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</si>
  <si>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</si>
  <si>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</si>
  <si>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</si>
  <si>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</si>
  <si>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</si>
  <si>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</si>
  <si>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</si>
  <si>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</si>
  <si>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</si>
  <si>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</si>
  <si>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</si>
  <si>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</si>
  <si>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</si>
  <si>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</si>
  <si>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</si>
  <si>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</si>
  <si>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</si>
  <si>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</si>
  <si>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</si>
  <si>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</si>
  <si>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</si>
  <si>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</si>
  <si>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</si>
  <si>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</si>
  <si>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</si>
  <si>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</si>
  <si>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</si>
  <si>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</si>
  <si>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</si>
  <si>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</si>
  <si>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</si>
  <si>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</si>
  <si>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</si>
  <si>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</si>
  <si>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</si>
  <si>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</si>
  <si>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</si>
  <si>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</si>
  <si>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</si>
  <si>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</si>
  <si>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</si>
  <si>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</si>
  <si>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</si>
  <si>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</si>
  <si>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</si>
  <si>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</si>
  <si>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</si>
  <si>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</si>
  <si>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</si>
  <si>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</si>
  <si>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</si>
  <si>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</si>
  <si>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</si>
  <si>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</si>
  <si>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</si>
  <si>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</si>
  <si>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</si>
  <si>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</si>
  <si>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</si>
  <si>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</si>
  <si>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</si>
  <si>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</si>
  <si>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</si>
  <si>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</si>
  <si>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</si>
  <si>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</si>
  <si>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</si>
  <si>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</si>
  <si>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</si>
  <si>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</si>
  <si>
    <t>Antonitsch</t>
  </si>
  <si>
    <t>Wilson</t>
  </si>
  <si>
    <t>Chase</t>
  </si>
  <si>
    <t>Scharner</t>
  </si>
  <si>
    <t>German</t>
  </si>
  <si>
    <t>Aisowieren</t>
  </si>
  <si>
    <t>Wustinger</t>
  </si>
  <si>
    <t>Scherf</t>
  </si>
  <si>
    <t>de Freitas</t>
  </si>
  <si>
    <t>Djuric</t>
  </si>
  <si>
    <t>Michael</t>
  </si>
  <si>
    <t>Wanker</t>
  </si>
  <si>
    <t>Peinhart</t>
  </si>
  <si>
    <t>Coulibaly</t>
  </si>
  <si>
    <t>Adeshina</t>
  </si>
  <si>
    <t>Bogou</t>
  </si>
  <si>
    <t>Scherzer</t>
  </si>
  <si>
    <t>Drabo</t>
  </si>
  <si>
    <t>Dermane</t>
  </si>
  <si>
    <t>Rahmani</t>
  </si>
  <si>
    <t>Kolp</t>
  </si>
  <si>
    <t>Blazevic</t>
  </si>
  <si>
    <t>Stöckl</t>
  </si>
  <si>
    <t>Brandt</t>
  </si>
  <si>
    <t>Benjamin</t>
  </si>
  <si>
    <t>Wernitznig</t>
  </si>
  <si>
    <t>Zeqiri</t>
  </si>
  <si>
    <t>Antosch</t>
  </si>
  <si>
    <t>Halastar</t>
  </si>
  <si>
    <t>22. Spieltag</t>
  </si>
  <si>
    <t>23. Spieltag</t>
  </si>
  <si>
    <t>24. Spieltag</t>
  </si>
  <si>
    <t>25. Spieltag</t>
  </si>
  <si>
    <t>26. Spieltag</t>
  </si>
  <si>
    <t>Schwaiger</t>
  </si>
  <si>
    <t>Wansch</t>
  </si>
  <si>
    <t>Mahop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</si>
</sst>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19.727272727272727</c:v>
                </c:pt>
                <c:pt idx="1">
                  <c:v>18.727272727272727</c:v>
                </c:pt>
                <c:pt idx="2">
                  <c:v>21.272727272727273</c:v>
                </c:pt>
                <c:pt idx="3">
                  <c:v>20</c:v>
                </c:pt>
                <c:pt idx="4">
                  <c:v>20.90909090909091</c:v>
                </c:pt>
                <c:pt idx="5">
                  <c:v>19.09090909090909</c:v>
                </c:pt>
                <c:pt idx="6">
                  <c:v>18.727272727272727</c:v>
                </c:pt>
                <c:pt idx="7">
                  <c:v>19.727272727272727</c:v>
                </c:pt>
                <c:pt idx="8">
                  <c:v>18.818181818181817</c:v>
                </c:pt>
                <c:pt idx="9">
                  <c:v>19.727272727272727</c:v>
                </c:pt>
                <c:pt idx="10">
                  <c:v>19.454545454545453</c:v>
                </c:pt>
                <c:pt idx="11">
                  <c:v>19.545454545454547</c:v>
                </c:pt>
                <c:pt idx="12">
                  <c:v>18.90909090909091</c:v>
                </c:pt>
                <c:pt idx="13">
                  <c:v>19.636363636363637</c:v>
                </c:pt>
                <c:pt idx="14">
                  <c:v>18.636363636363637</c:v>
                </c:pt>
                <c:pt idx="15">
                  <c:v>19.545454545454547</c:v>
                </c:pt>
                <c:pt idx="16">
                  <c:v>19.818181818181817</c:v>
                </c:pt>
                <c:pt idx="17">
                  <c:v>20.272727272727273</c:v>
                </c:pt>
                <c:pt idx="18">
                  <c:v>19.454545454545453</c:v>
                </c:pt>
                <c:pt idx="19">
                  <c:v>22.09090909090909</c:v>
                </c:pt>
                <c:pt idx="20">
                  <c:v>21.454545454545453</c:v>
                </c:pt>
                <c:pt idx="21">
                  <c:v>23.09090909090909</c:v>
                </c:pt>
                <c:pt idx="22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19.09090909090909</c:v>
                </c:pt>
                <c:pt idx="1">
                  <c:v>19.727272727272727</c:v>
                </c:pt>
                <c:pt idx="2">
                  <c:v>19.272727272727273</c:v>
                </c:pt>
                <c:pt idx="3">
                  <c:v>19.636363636363637</c:v>
                </c:pt>
                <c:pt idx="4">
                  <c:v>19.727272727272727</c:v>
                </c:pt>
                <c:pt idx="5">
                  <c:v>19.454545454545453</c:v>
                </c:pt>
                <c:pt idx="6">
                  <c:v>20.363636363636363</c:v>
                </c:pt>
                <c:pt idx="7">
                  <c:v>19.454545454545453</c:v>
                </c:pt>
                <c:pt idx="8">
                  <c:v>19.454545454545453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19.545454545454547</c:v>
                </c:pt>
                <c:pt idx="13">
                  <c:v>19</c:v>
                </c:pt>
                <c:pt idx="14">
                  <c:v>20.272727272727273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20.181818181818183</c:v>
                </c:pt>
                <c:pt idx="18">
                  <c:v>19.727272727272727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19.545454545454547</c:v>
                </c:pt>
                <c:pt idx="21" formatCode="0.00">
                  <c:v>19.545454545454547</c:v>
                </c:pt>
                <c:pt idx="24" formatCode="0.00">
                  <c:v>19.545454545454547</c:v>
                </c:pt>
                <c:pt idx="27" formatCode="0.00">
                  <c:v>19.545454545454547</c:v>
                </c:pt>
                <c:pt idx="30" formatCode="0.00">
                  <c:v>19.454545454545453</c:v>
                </c:pt>
                <c:pt idx="33" formatCode="0.00">
                  <c:v>19.636363636363637</c:v>
                </c:pt>
                <c:pt idx="36" formatCode="0.00">
                  <c:v>19.727272727272727</c:v>
                </c:pt>
                <c:pt idx="39" formatCode="0.00">
                  <c:v>19.454545454545453</c:v>
                </c:pt>
                <c:pt idx="42" formatCode="0.00">
                  <c:v>19.818181818181817</c:v>
                </c:pt>
                <c:pt idx="45" formatCode="0.00">
                  <c:v>19.636363636363637</c:v>
                </c:pt>
                <c:pt idx="48" formatCode="0.00">
                  <c:v>19.636363636363637</c:v>
                </c:pt>
                <c:pt idx="51" formatCode="0.00">
                  <c:v>19.181818181818183</c:v>
                </c:pt>
                <c:pt idx="54" formatCode="0.00">
                  <c:v>19.454545454545453</c:v>
                </c:pt>
                <c:pt idx="55" formatCode="0.00">
                  <c:v>19.727272727272727</c:v>
                </c:pt>
                <c:pt idx="56" formatCode="0.00">
                  <c:v>19.545454545454547</c:v>
                </c:pt>
                <c:pt idx="57" formatCode="0.00">
                  <c:v>19.363636363636363</c:v>
                </c:pt>
                <c:pt idx="58" formatCode="0.00">
                  <c:v>19.636363636363637</c:v>
                </c:pt>
                <c:pt idx="59" formatCode="0.00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20.363636363636363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21.272727272727273</c:v>
                </c:pt>
                <c:pt idx="21" formatCode="0.00">
                  <c:v>20.90909090909091</c:v>
                </c:pt>
                <c:pt idx="24" formatCode="0.00">
                  <c:v>21.636363636363637</c:v>
                </c:pt>
                <c:pt idx="27" formatCode="0.00">
                  <c:v>21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21.181818181818183</c:v>
                </c:pt>
                <c:pt idx="39" formatCode="0.00">
                  <c:v>21.818181818181817</c:v>
                </c:pt>
                <c:pt idx="42" formatCode="0.00">
                  <c:v>20.636363636363637</c:v>
                </c:pt>
                <c:pt idx="45" formatCode="0.00">
                  <c:v>21</c:v>
                </c:pt>
                <c:pt idx="48" formatCode="0.00">
                  <c:v>20.636363636363637</c:v>
                </c:pt>
                <c:pt idx="51" formatCode="0.00">
                  <c:v>20.727272727272727</c:v>
                </c:pt>
                <c:pt idx="54" formatCode="0.00">
                  <c:v>20.90909090909091</c:v>
                </c:pt>
                <c:pt idx="55" formatCode="0.00">
                  <c:v>20.818181818181817</c:v>
                </c:pt>
                <c:pt idx="56" formatCode="0.00">
                  <c:v>20.90909090909091</c:v>
                </c:pt>
                <c:pt idx="57" formatCode="0.00">
                  <c:v>20.90909090909091</c:v>
                </c:pt>
                <c:pt idx="58" formatCode="0.00">
                  <c:v>21.09090909090909</c:v>
                </c:pt>
                <c:pt idx="59" formatCode="0.00">
                  <c:v>20.363636363636363</c:v>
                </c:pt>
                <c:pt idx="60" formatCode="0.00">
                  <c:v>20.818181818181817</c:v>
                </c:pt>
                <c:pt idx="61" formatCode="0.00">
                  <c:v>20.545454545454547</c:v>
                </c:pt>
                <c:pt idx="62" formatCode="0.00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20.363636363636363</c:v>
                </c:pt>
                <c:pt idx="1">
                  <c:v>20.636363636363637</c:v>
                </c:pt>
                <c:pt idx="2">
                  <c:v>20.454545454545453</c:v>
                </c:pt>
                <c:pt idx="3">
                  <c:v>19.90909090909091</c:v>
                </c:pt>
                <c:pt idx="4">
                  <c:v>20.181818181818183</c:v>
                </c:pt>
                <c:pt idx="5">
                  <c:v>20.363636363636363</c:v>
                </c:pt>
                <c:pt idx="6">
                  <c:v>20.454545454545453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20.363636363636363</c:v>
                </c:pt>
                <c:pt idx="12">
                  <c:v>20.272727272727273</c:v>
                </c:pt>
                <c:pt idx="13">
                  <c:v>20.272727272727273</c:v>
                </c:pt>
                <c:pt idx="14">
                  <c:v>20.454545454545453</c:v>
                </c:pt>
                <c:pt idx="15">
                  <c:v>20.09090909090909</c:v>
                </c:pt>
                <c:pt idx="16">
                  <c:v>19.545454545454547</c:v>
                </c:pt>
                <c:pt idx="17">
                  <c:v>19.181818181818183</c:v>
                </c:pt>
                <c:pt idx="18">
                  <c:v>19.181818181818183</c:v>
                </c:pt>
                <c:pt idx="19">
                  <c:v>20.181818181818183</c:v>
                </c:pt>
                <c:pt idx="20">
                  <c:v>20.181818181818183</c:v>
                </c:pt>
                <c:pt idx="21">
                  <c:v>19.636363636363637</c:v>
                </c:pt>
                <c:pt idx="22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21.272727272727273</c:v>
                </c:pt>
                <c:pt idx="1">
                  <c:v>21.545454545454547</c:v>
                </c:pt>
                <c:pt idx="2">
                  <c:v>21.272727272727273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20.454545454545453</c:v>
                </c:pt>
                <c:pt idx="7">
                  <c:v>20.727272727272727</c:v>
                </c:pt>
                <c:pt idx="8">
                  <c:v>21</c:v>
                </c:pt>
                <c:pt idx="9">
                  <c:v>20.636363636363637</c:v>
                </c:pt>
                <c:pt idx="10">
                  <c:v>21</c:v>
                </c:pt>
                <c:pt idx="11">
                  <c:v>20.636363636363637</c:v>
                </c:pt>
                <c:pt idx="12">
                  <c:v>20.727272727272727</c:v>
                </c:pt>
                <c:pt idx="13">
                  <c:v>20.90909090909091</c:v>
                </c:pt>
                <c:pt idx="14">
                  <c:v>21.09090909090909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  <c:pt idx="19">
                  <c:v>21.181818181818183</c:v>
                </c:pt>
                <c:pt idx="20">
                  <c:v>21.09090909090909</c:v>
                </c:pt>
                <c:pt idx="21">
                  <c:v>21.454545454545453</c:v>
                </c:pt>
                <c:pt idx="2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19.818181818181817</c:v>
                </c:pt>
                <c:pt idx="3">
                  <c:v>20.272727272727273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20.09090909090909</c:v>
                </c:pt>
                <c:pt idx="18">
                  <c:v>19.727272727272727</c:v>
                </c:pt>
                <c:pt idx="21">
                  <c:v>19.818181818181817</c:v>
                </c:pt>
                <c:pt idx="24">
                  <c:v>19.90909090909091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18.90909090909091</c:v>
                </c:pt>
                <c:pt idx="54">
                  <c:v>18.545454545454547</c:v>
                </c:pt>
                <c:pt idx="55">
                  <c:v>18.545454545454547</c:v>
                </c:pt>
                <c:pt idx="56">
                  <c:v>18.90909090909091</c:v>
                </c:pt>
                <c:pt idx="57">
                  <c:v>19.09090909090909</c:v>
                </c:pt>
                <c:pt idx="58">
                  <c:v>18.727272727272727</c:v>
                </c:pt>
                <c:pt idx="59">
                  <c:v>19.272727272727273</c:v>
                </c:pt>
                <c:pt idx="60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19,73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20.363636363636363</c:v>
                </c:pt>
                <c:pt idx="1">
                  <c:v>20.636363636363637</c:v>
                </c:pt>
                <c:pt idx="2">
                  <c:v>20.454545454545453</c:v>
                </c:pt>
                <c:pt idx="3">
                  <c:v>19.90909090909091</c:v>
                </c:pt>
                <c:pt idx="4">
                  <c:v>20.181818181818183</c:v>
                </c:pt>
                <c:pt idx="5">
                  <c:v>20.363636363636363</c:v>
                </c:pt>
                <c:pt idx="6">
                  <c:v>20.454545454545453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20.363636363636363</c:v>
                </c:pt>
                <c:pt idx="12">
                  <c:v>20.272727272727273</c:v>
                </c:pt>
                <c:pt idx="13">
                  <c:v>20.272727272727273</c:v>
                </c:pt>
                <c:pt idx="14">
                  <c:v>20.454545454545453</c:v>
                </c:pt>
                <c:pt idx="15">
                  <c:v>20.09090909090909</c:v>
                </c:pt>
                <c:pt idx="16">
                  <c:v>19.545454545454547</c:v>
                </c:pt>
                <c:pt idx="17">
                  <c:v>19.181818181818183</c:v>
                </c:pt>
                <c:pt idx="18">
                  <c:v>19.181818181818183</c:v>
                </c:pt>
                <c:pt idx="19">
                  <c:v>20.181818181818183</c:v>
                </c:pt>
                <c:pt idx="20">
                  <c:v>20.181818181818183</c:v>
                </c:pt>
                <c:pt idx="21">
                  <c:v>19.636363636363637</c:v>
                </c:pt>
                <c:pt idx="22">
                  <c:v>19.636363636363637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19.09090909090909</c:v>
                </c:pt>
                <c:pt idx="1">
                  <c:v>19.727272727272727</c:v>
                </c:pt>
                <c:pt idx="2">
                  <c:v>19.272727272727273</c:v>
                </c:pt>
                <c:pt idx="3">
                  <c:v>19.636363636363637</c:v>
                </c:pt>
                <c:pt idx="4">
                  <c:v>19.727272727272727</c:v>
                </c:pt>
                <c:pt idx="5">
                  <c:v>19.454545454545453</c:v>
                </c:pt>
                <c:pt idx="6">
                  <c:v>20.363636363636363</c:v>
                </c:pt>
                <c:pt idx="7">
                  <c:v>19.454545454545453</c:v>
                </c:pt>
                <c:pt idx="8">
                  <c:v>19.454545454545453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19.90909090909091</c:v>
                </c:pt>
                <c:pt idx="12">
                  <c:v>19.545454545454547</c:v>
                </c:pt>
                <c:pt idx="13">
                  <c:v>19</c:v>
                </c:pt>
                <c:pt idx="14">
                  <c:v>20.272727272727273</c:v>
                </c:pt>
                <c:pt idx="15">
                  <c:v>20.181818181818183</c:v>
                </c:pt>
                <c:pt idx="16">
                  <c:v>19.727272727272727</c:v>
                </c:pt>
                <c:pt idx="17">
                  <c:v>20.181818181818183</c:v>
                </c:pt>
                <c:pt idx="18">
                  <c:v>19.727272727272727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21.272727272727273</c:v>
                </c:pt>
                <c:pt idx="1">
                  <c:v>21.545454545454547</c:v>
                </c:pt>
                <c:pt idx="2">
                  <c:v>21.272727272727273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20.454545454545453</c:v>
                </c:pt>
                <c:pt idx="7">
                  <c:v>20.727272727272727</c:v>
                </c:pt>
                <c:pt idx="8">
                  <c:v>21</c:v>
                </c:pt>
                <c:pt idx="9">
                  <c:v>20.636363636363637</c:v>
                </c:pt>
                <c:pt idx="10">
                  <c:v>21</c:v>
                </c:pt>
                <c:pt idx="11">
                  <c:v>20.636363636363637</c:v>
                </c:pt>
                <c:pt idx="12">
                  <c:v>20.727272727272727</c:v>
                </c:pt>
                <c:pt idx="13">
                  <c:v>20.90909090909091</c:v>
                </c:pt>
                <c:pt idx="14">
                  <c:v>21.09090909090909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  <c:pt idx="19">
                  <c:v>21.181818181818183</c:v>
                </c:pt>
                <c:pt idx="20">
                  <c:v>21.09090909090909</c:v>
                </c:pt>
                <c:pt idx="21">
                  <c:v>21.454545454545453</c:v>
                </c:pt>
                <c:pt idx="22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19.818181818181817</c:v>
                </c:pt>
                <c:pt idx="3">
                  <c:v>20.272727272727273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20.09090909090909</c:v>
                </c:pt>
                <c:pt idx="18">
                  <c:v>19.727272727272727</c:v>
                </c:pt>
                <c:pt idx="21">
                  <c:v>19.818181818181817</c:v>
                </c:pt>
                <c:pt idx="24">
                  <c:v>19.90909090909091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18.90909090909091</c:v>
                </c:pt>
                <c:pt idx="54">
                  <c:v>18.545454545454547</c:v>
                </c:pt>
                <c:pt idx="55">
                  <c:v>18.545454545454547</c:v>
                </c:pt>
                <c:pt idx="56">
                  <c:v>18.90909090909091</c:v>
                </c:pt>
                <c:pt idx="57">
                  <c:v>19.09090909090909</c:v>
                </c:pt>
                <c:pt idx="58">
                  <c:v>18.727272727272727</c:v>
                </c:pt>
                <c:pt idx="59">
                  <c:v>19.272727272727273</c:v>
                </c:pt>
                <c:pt idx="60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19.545454545454547</c:v>
                </c:pt>
                <c:pt idx="21" formatCode="0.00">
                  <c:v>19.545454545454547</c:v>
                </c:pt>
                <c:pt idx="24" formatCode="0.00">
                  <c:v>19.545454545454547</c:v>
                </c:pt>
                <c:pt idx="27" formatCode="0.00">
                  <c:v>19.545454545454547</c:v>
                </c:pt>
                <c:pt idx="30" formatCode="0.00">
                  <c:v>19.454545454545453</c:v>
                </c:pt>
                <c:pt idx="33" formatCode="0.00">
                  <c:v>19.636363636363637</c:v>
                </c:pt>
                <c:pt idx="36" formatCode="0.00">
                  <c:v>19.727272727272727</c:v>
                </c:pt>
                <c:pt idx="39" formatCode="0.00">
                  <c:v>19.454545454545453</c:v>
                </c:pt>
                <c:pt idx="42" formatCode="0.00">
                  <c:v>19.818181818181817</c:v>
                </c:pt>
                <c:pt idx="45" formatCode="0.00">
                  <c:v>19.636363636363637</c:v>
                </c:pt>
                <c:pt idx="48" formatCode="0.00">
                  <c:v>19.636363636363637</c:v>
                </c:pt>
                <c:pt idx="51" formatCode="0.00">
                  <c:v>19.181818181818183</c:v>
                </c:pt>
                <c:pt idx="54" formatCode="0.00">
                  <c:v>19.454545454545453</c:v>
                </c:pt>
                <c:pt idx="55" formatCode="0.00">
                  <c:v>19.727272727272727</c:v>
                </c:pt>
                <c:pt idx="56" formatCode="0.00">
                  <c:v>19.545454545454547</c:v>
                </c:pt>
                <c:pt idx="57" formatCode="0.00">
                  <c:v>19.363636363636363</c:v>
                </c:pt>
                <c:pt idx="58" formatCode="0.00">
                  <c:v>19.636363636363637</c:v>
                </c:pt>
                <c:pt idx="59" formatCode="0.00">
                  <c:v>19.272727272727273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20.545454545454547</c:v>
                </c:pt>
                <c:pt idx="6" formatCode="0.00">
                  <c:v>20.363636363636363</c:v>
                </c:pt>
                <c:pt idx="9" formatCode="0.00">
                  <c:v>20.545454545454547</c:v>
                </c:pt>
                <c:pt idx="12" formatCode="0.00">
                  <c:v>20.181818181818183</c:v>
                </c:pt>
                <c:pt idx="15" formatCode="0.00">
                  <c:v>20.363636363636363</c:v>
                </c:pt>
                <c:pt idx="18" formatCode="0.00">
                  <c:v>21.272727272727273</c:v>
                </c:pt>
                <c:pt idx="21" formatCode="0.00">
                  <c:v>20.90909090909091</c:v>
                </c:pt>
                <c:pt idx="24" formatCode="0.00">
                  <c:v>21.636363636363637</c:v>
                </c:pt>
                <c:pt idx="27" formatCode="0.00">
                  <c:v>21</c:v>
                </c:pt>
                <c:pt idx="30" formatCode="0.00">
                  <c:v>21.09090909090909</c:v>
                </c:pt>
                <c:pt idx="33" formatCode="0.00">
                  <c:v>21.09090909090909</c:v>
                </c:pt>
                <c:pt idx="36" formatCode="0.00">
                  <c:v>21.181818181818183</c:v>
                </c:pt>
                <c:pt idx="39" formatCode="0.00">
                  <c:v>21.818181818181817</c:v>
                </c:pt>
                <c:pt idx="42" formatCode="0.00">
                  <c:v>20.636363636363637</c:v>
                </c:pt>
                <c:pt idx="45" formatCode="0.00">
                  <c:v>21</c:v>
                </c:pt>
                <c:pt idx="48" formatCode="0.00">
                  <c:v>20.636363636363637</c:v>
                </c:pt>
                <c:pt idx="51" formatCode="0.00">
                  <c:v>20.727272727272727</c:v>
                </c:pt>
                <c:pt idx="54" formatCode="0.00">
                  <c:v>20.90909090909091</c:v>
                </c:pt>
                <c:pt idx="55" formatCode="0.00">
                  <c:v>20.818181818181817</c:v>
                </c:pt>
                <c:pt idx="56" formatCode="0.00">
                  <c:v>20.90909090909091</c:v>
                </c:pt>
                <c:pt idx="57" formatCode="0.00">
                  <c:v>20.90909090909091</c:v>
                </c:pt>
                <c:pt idx="58" formatCode="0.00">
                  <c:v>21.09090909090909</c:v>
                </c:pt>
                <c:pt idx="59" formatCode="0.00">
                  <c:v>20.363636363636363</c:v>
                </c:pt>
                <c:pt idx="60" formatCode="0.00">
                  <c:v>20.818181818181817</c:v>
                </c:pt>
                <c:pt idx="61" formatCode="0.00">
                  <c:v>20.545454545454547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5" sqref="B5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123</v>
      </c>
    </row>
    <row r="2" spans="1:2" x14ac:dyDescent="0.3">
      <c r="A2" s="4" t="s">
        <v>49</v>
      </c>
      <c r="B2" s="5">
        <f ca="1">Rapid!N1</f>
        <v>19.47902097902098</v>
      </c>
    </row>
    <row r="3" spans="1:2" x14ac:dyDescent="0.3">
      <c r="A3" s="4" t="s">
        <v>51</v>
      </c>
      <c r="B3" s="5">
        <f ca="1">Liefering!N1</f>
        <v>19.541818181818183</v>
      </c>
    </row>
    <row r="4" spans="1:2" x14ac:dyDescent="0.3">
      <c r="A4" s="4" t="s">
        <v>40</v>
      </c>
      <c r="B4" s="5">
        <f ca="1">'Altach Juniors'!N1</f>
        <v>19.632231404958677</v>
      </c>
    </row>
    <row r="5" spans="1:2" x14ac:dyDescent="0.3">
      <c r="A5" s="2" t="s">
        <v>33</v>
      </c>
      <c r="B5" s="3">
        <f ca="1">JWR!N1</f>
        <v>19.889328063241102</v>
      </c>
    </row>
    <row r="6" spans="1:2" x14ac:dyDescent="0.3">
      <c r="A6" s="4" t="s">
        <v>4</v>
      </c>
      <c r="B6" s="5">
        <f ca="1">LASK!N1</f>
        <v>20.138339920948617</v>
      </c>
    </row>
    <row r="7" spans="1:2" x14ac:dyDescent="0.3">
      <c r="A7" s="4" t="s">
        <v>50</v>
      </c>
      <c r="B7" s="5">
        <f ca="1">Sturm!N1</f>
        <v>20.832167832167833</v>
      </c>
    </row>
    <row r="8" spans="1:2" x14ac:dyDescent="0.3">
      <c r="A8" s="4" t="s">
        <v>16</v>
      </c>
      <c r="B8" s="5">
        <f ca="1">WAC!N1</f>
        <v>21.003952569169957</v>
      </c>
    </row>
    <row r="9" spans="1:2" x14ac:dyDescent="0.3">
      <c r="A9" s="4" t="s">
        <v>41</v>
      </c>
      <c r="B9" s="5">
        <f ca="1">'Young Violets'!N1</f>
        <v>21.014545454545456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AA35"/>
  <sheetViews>
    <sheetView workbookViewId="0">
      <pane xSplit="1" topLeftCell="G1" activePane="topRight" state="frozen"/>
      <selection pane="topRight" activeCell="V7" sqref="V7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7" x14ac:dyDescent="0.3">
      <c r="B1" s="7" t="s">
        <v>125</v>
      </c>
      <c r="C1" s="7" t="s">
        <v>126</v>
      </c>
      <c r="D1" s="7" t="s">
        <v>127</v>
      </c>
      <c r="E1" s="7" t="s">
        <v>128</v>
      </c>
      <c r="F1" s="7" t="s">
        <v>129</v>
      </c>
      <c r="G1" s="7" t="s">
        <v>130</v>
      </c>
      <c r="H1" s="7" t="s">
        <v>131</v>
      </c>
      <c r="I1" s="7" t="s">
        <v>132</v>
      </c>
      <c r="J1" s="7" t="s">
        <v>133</v>
      </c>
      <c r="K1" s="7" t="s">
        <v>134</v>
      </c>
      <c r="L1" s="7" t="s">
        <v>135</v>
      </c>
      <c r="M1" s="7" t="s">
        <v>136</v>
      </c>
      <c r="N1" s="7" t="s">
        <v>137</v>
      </c>
      <c r="O1" s="7" t="s">
        <v>138</v>
      </c>
      <c r="P1" s="7" t="s">
        <v>139</v>
      </c>
      <c r="Q1" s="7" t="s">
        <v>140</v>
      </c>
      <c r="R1" s="7" t="s">
        <v>141</v>
      </c>
      <c r="S1" s="7" t="s">
        <v>142</v>
      </c>
      <c r="T1" s="7" t="s">
        <v>143</v>
      </c>
      <c r="U1" s="7" t="s">
        <v>144</v>
      </c>
      <c r="V1" s="7" t="s">
        <v>145</v>
      </c>
      <c r="W1" s="7" t="s">
        <v>325</v>
      </c>
      <c r="X1" s="7" t="s">
        <v>326</v>
      </c>
      <c r="Y1" s="7" t="s">
        <v>327</v>
      </c>
      <c r="Z1" s="7" t="s">
        <v>328</v>
      </c>
      <c r="AA1" s="7" t="s">
        <v>329</v>
      </c>
    </row>
    <row r="2" spans="1:27" x14ac:dyDescent="0.3">
      <c r="A2" s="4" t="s">
        <v>33</v>
      </c>
      <c r="B2" s="8" cm="1">
        <f t="array" aca="1" ref="B2" ca="1">INDIRECT("JWR!N" &amp; (COLUMN()-1)*3)</f>
        <v>19.727272727272727</v>
      </c>
      <c r="C2" s="8" cm="1">
        <f t="array" aca="1" ref="C2" ca="1">INDIRECT("JWR!N" &amp; (COLUMN()-1)*3)</f>
        <v>18.727272727272727</v>
      </c>
      <c r="D2" s="8" cm="1">
        <f t="array" aca="1" ref="D2" ca="1">INDIRECT("JWR!N" &amp; (COLUMN()-1)*3)</f>
        <v>21.272727272727273</v>
      </c>
      <c r="E2" s="8" cm="1">
        <f t="array" aca="1" ref="E2" ca="1">INDIRECT("JWR!N" &amp; (COLUMN()-1)*3)</f>
        <v>20</v>
      </c>
      <c r="F2" s="8" cm="1">
        <f t="array" aca="1" ref="F2" ca="1">INDIRECT("JWR!N" &amp; (COLUMN()-1)*3)</f>
        <v>20.90909090909091</v>
      </c>
      <c r="G2" s="8" cm="1">
        <f t="array" aca="1" ref="G2" ca="1">INDIRECT("JWR!N" &amp; (COLUMN()-1)*3)</f>
        <v>19.09090909090909</v>
      </c>
      <c r="H2" s="8" cm="1">
        <f t="array" aca="1" ref="H2" ca="1">INDIRECT("JWR!N" &amp; (COLUMN()-1)*3)</f>
        <v>18.727272727272727</v>
      </c>
      <c r="I2" s="8" cm="1">
        <f t="array" aca="1" ref="I2" ca="1">INDIRECT("JWR!N" &amp; (COLUMN()-1)*3)</f>
        <v>19.727272727272727</v>
      </c>
      <c r="J2" s="8" cm="1">
        <f t="array" aca="1" ref="J2" ca="1">INDIRECT("JWR!N" &amp; (COLUMN()-1)*3)</f>
        <v>18.818181818181817</v>
      </c>
      <c r="K2" s="8" cm="1">
        <f t="array" aca="1" ref="K2" ca="1">INDIRECT("JWR!N" &amp; (COLUMN()-1)*3)</f>
        <v>19.727272727272727</v>
      </c>
      <c r="L2" s="8" cm="1">
        <f t="array" aca="1" ref="L2" ca="1">INDIRECT("JWR!N" &amp; (COLUMN()-1)*3)</f>
        <v>19.454545454545453</v>
      </c>
      <c r="M2" s="8" cm="1">
        <f t="array" aca="1" ref="M2" ca="1">INDIRECT("JWR!N" &amp; (COLUMN()-1)*3)</f>
        <v>19.545454545454547</v>
      </c>
      <c r="N2" s="8" cm="1">
        <f t="array" aca="1" ref="N2" ca="1">INDIRECT("JWR!N" &amp; (COLUMN()-1)*3)</f>
        <v>18.90909090909091</v>
      </c>
      <c r="O2" s="8" cm="1">
        <f t="array" aca="1" ref="O2" ca="1">INDIRECT("JWR!N" &amp; (COLUMN()-1)*3)</f>
        <v>19.636363636363637</v>
      </c>
      <c r="P2" s="8" cm="1">
        <f t="array" aca="1" ref="P2" ca="1">INDIRECT("JWR!N" &amp; (COLUMN()-1)*3)</f>
        <v>18.636363636363637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19.818181818181817</v>
      </c>
      <c r="S2" s="8" cm="1">
        <f t="array" aca="1" ref="S2" ca="1">INDIRECT("JWR!N" &amp; (COLUMN()-1)*3)</f>
        <v>20.272727272727273</v>
      </c>
      <c r="T2" s="8" cm="1">
        <f t="array" aca="1" ref="T2" ca="1">INDIRECT("JWR!N" &amp; (COLUMN()-1)*3)</f>
        <v>19.454545454545453</v>
      </c>
      <c r="U2" s="8" cm="1">
        <f t="array" aca="1" ref="U2" ca="1">INDIRECT("JWR!N" &amp; (COLUMN()-1)*3)</f>
        <v>22.09090909090909</v>
      </c>
      <c r="V2" s="8" cm="1">
        <f t="array" aca="1" ref="V2" ca="1">INDIRECT("JWR!N" &amp; (COLUMN()-1)*3)</f>
        <v>21.454545454545453</v>
      </c>
      <c r="W2" s="8" cm="1">
        <f t="array" aca="1" ref="W2" ca="1">INDIRECT("JWR!N" &amp; (COLUMN()-1)*3)</f>
        <v>23.09090909090909</v>
      </c>
      <c r="X2" s="8" cm="1">
        <f t="array" aca="1" ref="X2" ca="1">INDIRECT("JWR!N" &amp; (COLUMN()-1)*3)</f>
        <v>18.818181818181817</v>
      </c>
      <c r="Y2" s="8" cm="1">
        <f t="array" aca="1" ref="Y2" ca="1">INDIRECT("JWR!N" &amp; (COLUMN()-1)*3)</f>
        <v>0</v>
      </c>
      <c r="Z2" s="8" cm="1">
        <f t="array" aca="1" ref="Z2" ca="1">INDIRECT("JWR!N" &amp; (COLUMN()-1)*3)</f>
        <v>0</v>
      </c>
      <c r="AA2" s="8" cm="1">
        <f t="array" aca="1" ref="AA2" ca="1">INDIRECT("JWR!N" &amp; (COLUMN()-1)*3)</f>
        <v>0</v>
      </c>
    </row>
    <row r="3" spans="1:27" x14ac:dyDescent="0.3">
      <c r="A3" s="4" t="s">
        <v>4</v>
      </c>
      <c r="B3" s="8" cm="1">
        <f t="array" aca="1" ref="B3" ca="1">INDIRECT("LASK!N" &amp; (COLUMN()-1)*3)</f>
        <v>20.363636363636363</v>
      </c>
      <c r="C3" s="8" cm="1">
        <f t="array" aca="1" ref="C3" ca="1">INDIRECT("LASK!N" &amp; (COLUMN()-1)*3)</f>
        <v>20.636363636363637</v>
      </c>
      <c r="D3" s="8" cm="1">
        <f t="array" aca="1" ref="D3" ca="1">INDIRECT("LASK!N" &amp; (COLUMN()-1)*3)</f>
        <v>20.454545454545453</v>
      </c>
      <c r="E3" s="8" cm="1">
        <f t="array" aca="1" ref="E3" ca="1">INDIRECT("LASK!N" &amp; (COLUMN()-1)*3)</f>
        <v>19.90909090909091</v>
      </c>
      <c r="F3" s="8" cm="1">
        <f t="array" aca="1" ref="F3" ca="1">INDIRECT("LASK!N" &amp; (COLUMN()-1)*3)</f>
        <v>20.181818181818183</v>
      </c>
      <c r="G3" s="8" cm="1">
        <f t="array" aca="1" ref="G3" ca="1">INDIRECT("LASK!N" &amp; (COLUMN()-1)*3)</f>
        <v>20.363636363636363</v>
      </c>
      <c r="H3" s="8" cm="1">
        <f t="array" aca="1" ref="H3" ca="1">INDIRECT("LASK!N" &amp; (COLUMN()-1)*3)</f>
        <v>20.454545454545453</v>
      </c>
      <c r="I3" s="8" cm="1">
        <f t="array" aca="1" ref="I3" ca="1">INDIRECT("LASK!N" &amp; (COLUMN()-1)*3)</f>
        <v>20.363636363636363</v>
      </c>
      <c r="J3" s="8" cm="1">
        <f t="array" aca="1" ref="J3" ca="1">INDIRECT("LASK!N" &amp; (COLUMN()-1)*3)</f>
        <v>20.545454545454547</v>
      </c>
      <c r="K3" s="8" cm="1">
        <f t="array" aca="1" ref="K3" ca="1">INDIRECT("LASK!N" &amp; (COLUMN()-1)*3)</f>
        <v>20.545454545454547</v>
      </c>
      <c r="L3" s="8" cm="1">
        <f t="array" aca="1" ref="L3" ca="1">INDIRECT("LASK!N" &amp; (COLUMN()-1)*3)</f>
        <v>20.363636363636363</v>
      </c>
      <c r="M3" s="8" cm="1">
        <f t="array" aca="1" ref="M3" ca="1">INDIRECT("LASK!N" &amp; (COLUMN()-1)*3)</f>
        <v>20.363636363636363</v>
      </c>
      <c r="N3" s="8" cm="1">
        <f t="array" aca="1" ref="N3" ca="1">INDIRECT("LASK!N" &amp; (COLUMN()-1)*3)</f>
        <v>20.272727272727273</v>
      </c>
      <c r="O3" s="8" cm="1">
        <f t="array" aca="1" ref="O3" ca="1">INDIRECT("LASK!N" &amp; (COLUMN()-1)*3)</f>
        <v>20.272727272727273</v>
      </c>
      <c r="P3" s="8" cm="1">
        <f t="array" aca="1" ref="P3" ca="1">INDIRECT("LASK!N" &amp; (COLUMN()-1)*3)</f>
        <v>20.454545454545453</v>
      </c>
      <c r="Q3" s="8" cm="1">
        <f t="array" aca="1" ref="Q3" ca="1">INDIRECT("LASK!N" &amp; (COLUMN()-1)*3)</f>
        <v>20.09090909090909</v>
      </c>
      <c r="R3" s="8" cm="1">
        <f t="array" aca="1" ref="R3" ca="1">INDIRECT("LASK!N" &amp; (COLUMN()-1)*3)</f>
        <v>19.545454545454547</v>
      </c>
      <c r="S3" s="8" cm="1">
        <f t="array" aca="1" ref="S3" ca="1">INDIRECT("LASK!N" &amp; (COLUMN()-1)*3)</f>
        <v>19.181818181818183</v>
      </c>
      <c r="T3" s="8" cm="1">
        <f t="array" aca="1" ref="T3" ca="1">INDIRECT("LASK!N" &amp; (COLUMN()-1)*3)</f>
        <v>19.181818181818183</v>
      </c>
      <c r="U3" s="8" cm="1">
        <f t="array" aca="1" ref="U3" ca="1">INDIRECT("LASK!N" &amp; (COLUMN()-1)*3)</f>
        <v>20.181818181818183</v>
      </c>
      <c r="V3" s="8" cm="1">
        <f t="array" aca="1" ref="V3" ca="1">INDIRECT("LASK!N" &amp; (COLUMN()-1)*3)</f>
        <v>20.181818181818183</v>
      </c>
      <c r="W3" s="8" cm="1">
        <f t="array" aca="1" ref="W3" ca="1">INDIRECT("LASK!N" &amp; (COLUMN()-1)*3)</f>
        <v>19.636363636363637</v>
      </c>
      <c r="X3" s="8" cm="1">
        <f t="array" aca="1" ref="X3" ca="1">INDIRECT("LASK!N" &amp; (COLUMN()-1)*3)</f>
        <v>19.636363636363637</v>
      </c>
      <c r="Y3" s="8" cm="1">
        <f t="array" aca="1" ref="Y3" ca="1">INDIRECT("LASK!N" &amp; (COLUMN()-1)*3)</f>
        <v>0</v>
      </c>
      <c r="Z3" s="8" cm="1">
        <f t="array" aca="1" ref="Z3" ca="1">INDIRECT("LASK!N" &amp; (COLUMN()-1)*3)</f>
        <v>0</v>
      </c>
      <c r="AA3" s="8" cm="1">
        <f t="array" aca="1" ref="AA3" ca="1">INDIRECT("LASK!N" &amp; (COLUMN()-1)*3)</f>
        <v>0</v>
      </c>
    </row>
    <row r="4" spans="1:27" x14ac:dyDescent="0.3">
      <c r="A4" s="4" t="s">
        <v>124</v>
      </c>
      <c r="B4" s="5" cm="1">
        <f t="array" aca="1" ref="B4" ca="1">INDIRECT("'Altach Juniors'!N" &amp; (COLUMN()-1)*3)</f>
        <v>19.09090909090909</v>
      </c>
      <c r="C4" s="5" cm="1">
        <f t="array" aca="1" ref="C4" ca="1">INDIRECT("'Altach Juniors'!N" &amp; (COLUMN()-1)*3)</f>
        <v>19.727272727272727</v>
      </c>
      <c r="D4" s="5" cm="1">
        <f t="array" aca="1" ref="D4" ca="1">INDIRECT("'Altach Juniors'!N" &amp; (COLUMN()-1)*3)</f>
        <v>19.272727272727273</v>
      </c>
      <c r="E4" s="5" cm="1">
        <f t="array" aca="1" ref="E4" ca="1">INDIRECT("'Altach Juniors'!N" &amp; (COLUMN()-1)*3)</f>
        <v>19.636363636363637</v>
      </c>
      <c r="F4" s="5" cm="1">
        <f t="array" aca="1" ref="F4" ca="1">INDIRECT("'Altach Juniors'!N" &amp; (COLUMN()-1)*3)</f>
        <v>19.727272727272727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20.363636363636363</v>
      </c>
      <c r="I4" s="5" cm="1">
        <f t="array" aca="1" ref="I4" ca="1">INDIRECT("'Altach Juniors'!N" &amp; (COLUMN()-1)*3)</f>
        <v>19.454545454545453</v>
      </c>
      <c r="J4" s="5" cm="1">
        <f t="array" aca="1" ref="J4" ca="1">INDIRECT("'Altach Juniors'!N" &amp; (COLUMN()-1)*3)</f>
        <v>19.454545454545453</v>
      </c>
      <c r="K4" s="5" cm="1">
        <f t="array" aca="1" ref="K4" ca="1">INDIRECT("'Altach Juniors'!N" &amp; (COLUMN()-1)*3)</f>
        <v>18.636363636363637</v>
      </c>
      <c r="L4" s="5" cm="1">
        <f t="array" aca="1" ref="L4" ca="1">INDIRECT("'Altach Juniors'!N" &amp; (COLUMN()-1)*3)</f>
        <v>20.272727272727273</v>
      </c>
      <c r="M4" s="5" cm="1">
        <f t="array" aca="1" ref="M4" ca="1">INDIRECT("'Altach Juniors'!N" &amp; (COLUMN()-1)*3)</f>
        <v>19.90909090909091</v>
      </c>
      <c r="N4" s="5" cm="1">
        <f t="array" aca="1" ref="N4" ca="1">INDIRECT("'Altach Juniors'!N" &amp; (COLUMN()-1)*3)</f>
        <v>19.545454545454547</v>
      </c>
      <c r="O4" s="5" cm="1">
        <f t="array" aca="1" ref="O4" ca="1">INDIRECT("'Altach Juniors'!N" &amp; (COLUMN()-1)*3)</f>
        <v>19</v>
      </c>
      <c r="P4" s="5" cm="1">
        <f t="array" aca="1" ref="P4" ca="1">INDIRECT("'Altach Juniors'!N" &amp; (COLUMN()-1)*3)</f>
        <v>20.272727272727273</v>
      </c>
      <c r="Q4" s="5" cm="1">
        <f t="array" aca="1" ref="Q4" ca="1">INDIRECT("'Altach Juniors'!N" &amp; (COLUMN()-1)*3)</f>
        <v>20.181818181818183</v>
      </c>
      <c r="R4" s="5" cm="1">
        <f t="array" aca="1" ref="R4" ca="1">INDIRECT("'Altach Juniors'!N" &amp; (COLUMN()-1)*3)</f>
        <v>19.727272727272727</v>
      </c>
      <c r="S4" s="5" cm="1">
        <f t="array" aca="1" ref="S4" ca="1">INDIRECT("'Altach Juniors'!N" &amp; (COLUMN()-1)*3)</f>
        <v>20.181818181818183</v>
      </c>
      <c r="T4" s="5" cm="1">
        <f t="array" aca="1" ref="T4" ca="1">INDIRECT("'Altach Juniors'!N" &amp; (COLUMN()-1)*3)</f>
        <v>19.727272727272727</v>
      </c>
      <c r="U4" s="5" cm="1">
        <f t="array" aca="1" ref="U4" ca="1">INDIRECT("'Altach Juniors'!N" &amp; (COLUMN()-1)*3)</f>
        <v>19.727272727272727</v>
      </c>
      <c r="V4" s="5" cm="1">
        <f t="array" aca="1" ref="V4" ca="1">INDIRECT("'Altach Juniors'!N" &amp; (COLUMN()-1)*3)</f>
        <v>19.636363636363637</v>
      </c>
      <c r="W4" s="5" cm="1">
        <f t="array" aca="1" ref="W4" ca="1">INDIRECT("'Altach Juniors'!N" &amp; (COLUMN()-1)*3)</f>
        <v>18.90909090909091</v>
      </c>
      <c r="X4" s="5" cm="1">
        <f t="array" aca="1" ref="X4" ca="1">INDIRECT("'Altach Juniors'!N" &amp; (COLUMN()-1)*3)</f>
        <v>0</v>
      </c>
      <c r="Y4" s="5" cm="1">
        <f t="array" aca="1" ref="Y4" ca="1">INDIRECT("'Altach Juniors'!N" &amp; (COLUMN()-1)*3)</f>
        <v>0</v>
      </c>
      <c r="Z4" s="5" cm="1">
        <f t="array" aca="1" ref="Z4" ca="1">INDIRECT("'Altach Juniors'!N" &amp; (COLUMN()-1)*3)</f>
        <v>0</v>
      </c>
      <c r="AA4" s="5" cm="1">
        <f t="array" aca="1" ref="AA4" ca="1">INDIRECT("'Altach Juniors'!N" &amp; (COLUMN()-1)*3)</f>
        <v>0</v>
      </c>
    </row>
    <row r="5" spans="1:27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20.818181818181817</v>
      </c>
      <c r="E5" s="5" cm="1">
        <f t="array" aca="1" ref="E5" ca="1">INDIRECT("'Young Violets'!N" &amp; (COLUMN()-1)*3)</f>
        <v>20.818181818181817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21</v>
      </c>
      <c r="I5" s="5" cm="1">
        <f t="array" aca="1" ref="I5" ca="1">INDIRECT("'Young Violets'!N" &amp; (COLUMN()-1)*3)</f>
        <v>20.636363636363637</v>
      </c>
      <c r="J5" s="5" cm="1">
        <f t="array" aca="1" ref="J5" ca="1">INDIRECT("'Young Violets'!N" &amp; (COLUMN()-1)*3)</f>
        <v>19.727272727272727</v>
      </c>
      <c r="K5" s="5" cm="1">
        <f t="array" aca="1" ref="K5" ca="1">INDIRECT("'Young Violets'!N" &amp; (COLUMN()-1)*3)</f>
        <v>19.454545454545453</v>
      </c>
      <c r="L5" s="5" cm="1">
        <f t="array" aca="1" ref="L5" ca="1">INDIRECT("'Young Violets'!N" &amp; (COLUMN()-1)*3)</f>
        <v>21.181818181818183</v>
      </c>
      <c r="M5" s="5" cm="1">
        <f t="array" aca="1" ref="M5" ca="1">INDIRECT("'Young Violets'!N" &amp; (COLUMN()-1)*3)</f>
        <v>21.09090909090909</v>
      </c>
      <c r="N5" s="5" cm="1">
        <f t="array" aca="1" ref="N5" ca="1">INDIRECT("'Young Violets'!N" &amp; (COLUMN()-1)*3)</f>
        <v>21.181818181818183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21.181818181818183</v>
      </c>
      <c r="T5" s="5" cm="1">
        <f t="array" aca="1" ref="T5" ca="1">INDIRECT("'Young Violets'!N" &amp; (COLUMN()-1)*3)</f>
        <v>21.727272727272727</v>
      </c>
      <c r="U5" s="5" cm="1">
        <f t="array" aca="1" ref="U5" ca="1">INDIRECT("'Young Violets'!N" &amp; (COLUMN()-1)*3)</f>
        <v>21.818181818181817</v>
      </c>
      <c r="V5" s="5" cm="1">
        <f t="array" aca="1" ref="V5" ca="1">INDIRECT("'Young Violets'!N" &amp; (COLUMN()-1)*3)</f>
        <v>21.818181818181817</v>
      </c>
      <c r="W5" s="5" cm="1">
        <f t="array" aca="1" ref="W5" ca="1">INDIRECT("'Young Violets'!N" &amp; (COLUMN()-1)*3)</f>
        <v>21.90909090909091</v>
      </c>
      <c r="X5" s="5" cm="1">
        <f t="array" aca="1" ref="X5" ca="1">INDIRECT("'Young Violets'!N" &amp; (COLUMN()-1)*3)</f>
        <v>20.363636363636363</v>
      </c>
      <c r="Y5" s="5" cm="1">
        <f t="array" aca="1" ref="Y5" ca="1">INDIRECT("'Young Violets'!N" &amp; (COLUMN()-1)*3)</f>
        <v>21.181818181818183</v>
      </c>
      <c r="Z5" s="5" cm="1">
        <f t="array" aca="1" ref="Z5" ca="1">INDIRECT("'Young Violets'!N" &amp; (COLUMN()-1)*3)</f>
        <v>21.727272727272727</v>
      </c>
      <c r="AA5" s="5" cm="1">
        <f t="array" aca="1" ref="AA5" ca="1">INDIRECT("'Young Violets'!N" &amp; (COLUMN()-1)*3)</f>
        <v>0</v>
      </c>
    </row>
    <row r="6" spans="1:27" x14ac:dyDescent="0.3">
      <c r="A6" s="4" t="s">
        <v>16</v>
      </c>
      <c r="B6" s="5" cm="1">
        <f t="array" aca="1" ref="B6" ca="1">INDIRECT("WAC!N" &amp; (COLUMN()-1)*3)</f>
        <v>21.272727272727273</v>
      </c>
      <c r="C6" s="5" cm="1">
        <f t="array" aca="1" ref="C6" ca="1">INDIRECT("WAC!N" &amp; (COLUMN()-1)*3)</f>
        <v>21.545454545454547</v>
      </c>
      <c r="D6" s="5" cm="1">
        <f t="array" aca="1" ref="D6" ca="1">INDIRECT("WAC!N" &amp; (COLUMN()-1)*3)</f>
        <v>21.272727272727273</v>
      </c>
      <c r="E6" s="5" cm="1">
        <f t="array" aca="1" ref="E6" ca="1">INDIRECT("WAC!N" &amp; (COLUMN()-1)*3)</f>
        <v>21.181818181818183</v>
      </c>
      <c r="F6" s="5" cm="1">
        <f t="array" aca="1" ref="F6" ca="1">INDIRECT("WAC!N" &amp; (COLUMN()-1)*3)</f>
        <v>21</v>
      </c>
      <c r="G6" s="5" cm="1">
        <f t="array" aca="1" ref="G6" ca="1">INDIRECT("WAC!N" &amp; (COLUMN()-1)*3)</f>
        <v>20.363636363636363</v>
      </c>
      <c r="H6" s="5" cm="1">
        <f t="array" aca="1" ref="H6" ca="1">INDIRECT("WAC!N" &amp; (COLUMN()-1)*3)</f>
        <v>20.454545454545453</v>
      </c>
      <c r="I6" s="5" cm="1">
        <f t="array" aca="1" ref="I6" ca="1">INDIRECT("WAC!N" &amp; (COLUMN()-1)*3)</f>
        <v>20.727272727272727</v>
      </c>
      <c r="J6" s="5" cm="1">
        <f t="array" aca="1" ref="J6" ca="1">INDIRECT("WAC!N" &amp; (COLUMN()-1)*3)</f>
        <v>21</v>
      </c>
      <c r="K6" s="5" cm="1">
        <f t="array" aca="1" ref="K6" ca="1">INDIRECT("WAC!N" &amp; (COLUMN()-1)*3)</f>
        <v>20.636363636363637</v>
      </c>
      <c r="L6" s="5" cm="1">
        <f t="array" aca="1" ref="L6" ca="1">INDIRECT("WAC!N" &amp; (COLUMN()-1)*3)</f>
        <v>21</v>
      </c>
      <c r="M6" s="5" cm="1">
        <f t="array" aca="1" ref="M6" ca="1">INDIRECT("WAC!N" &amp; (COLUMN()-1)*3)</f>
        <v>20.636363636363637</v>
      </c>
      <c r="N6" s="5" cm="1">
        <f t="array" aca="1" ref="N6" ca="1">INDIRECT("WAC!N" &amp; (COLUMN()-1)*3)</f>
        <v>20.727272727272727</v>
      </c>
      <c r="O6" s="5" cm="1">
        <f t="array" aca="1" ref="O6" ca="1">INDIRECT("WAC!N" &amp; (COLUMN()-1)*3)</f>
        <v>20.90909090909091</v>
      </c>
      <c r="P6" s="5" cm="1">
        <f t="array" aca="1" ref="P6" ca="1">INDIRECT("WAC!N" &amp; (COLUMN()-1)*3)</f>
        <v>21.09090909090909</v>
      </c>
      <c r="Q6" s="5" cm="1">
        <f t="array" aca="1" ref="Q6" ca="1">INDIRECT("WAC!N" &amp; (COLUMN()-1)*3)</f>
        <v>21.272727272727273</v>
      </c>
      <c r="R6" s="5" cm="1">
        <f t="array" aca="1" ref="R6" ca="1">INDIRECT("WAC!N" &amp; (COLUMN()-1)*3)</f>
        <v>20.636363636363637</v>
      </c>
      <c r="S6" s="5" cm="1">
        <f t="array" aca="1" ref="S6" ca="1">INDIRECT("WAC!N" &amp; (COLUMN()-1)*3)</f>
        <v>21.181818181818183</v>
      </c>
      <c r="T6" s="5" cm="1">
        <f t="array" aca="1" ref="T6" ca="1">INDIRECT("WAC!N" &amp; (COLUMN()-1)*3)</f>
        <v>21.454545454545453</v>
      </c>
      <c r="U6" s="5" cm="1">
        <f t="array" aca="1" ref="U6" ca="1">INDIRECT("WAC!N" &amp; (COLUMN()-1)*3)</f>
        <v>21.181818181818183</v>
      </c>
      <c r="V6" s="5" cm="1">
        <f t="array" aca="1" ref="V6" ca="1">INDIRECT("WAC!N" &amp; (COLUMN()-1)*3)</f>
        <v>21.09090909090909</v>
      </c>
      <c r="W6" s="5" cm="1">
        <f t="array" aca="1" ref="W6" ca="1">INDIRECT("WAC!N" &amp; (COLUMN()-1)*3)</f>
        <v>21.454545454545453</v>
      </c>
      <c r="X6" s="5" cm="1">
        <f t="array" aca="1" ref="X6" ca="1">INDIRECT("WAC!N" &amp; (COLUMN()-1)*3)</f>
        <v>21</v>
      </c>
      <c r="Y6" s="5" cm="1">
        <f t="array" aca="1" ref="Y6" ca="1">INDIRECT("WAC!N" &amp; (COLUMN()-1)*3)</f>
        <v>0</v>
      </c>
      <c r="Z6" s="5" cm="1">
        <f t="array" aca="1" ref="Z6" ca="1">INDIRECT("WAC!N" &amp; (COLUMN()-1)*3)</f>
        <v>0</v>
      </c>
      <c r="AA6" s="5" cm="1">
        <f t="array" aca="1" ref="AA6" ca="1">INDIRECT("WAC!N" &amp; (COLUMN()-1)*3)</f>
        <v>0</v>
      </c>
    </row>
    <row r="7" spans="1:27" x14ac:dyDescent="0.3">
      <c r="A7" s="4" t="s">
        <v>49</v>
      </c>
      <c r="B7" s="5" cm="1">
        <f t="array" aca="1" ref="B7" ca="1">INDIRECT("Rapid!N" &amp; (COLUMN()-1)*3)</f>
        <v>19.818181818181817</v>
      </c>
      <c r="C7" s="5" cm="1">
        <f t="array" aca="1" ref="C7" ca="1">INDIRECT("Rapid!N" &amp; (COLUMN()-1)*3)</f>
        <v>20.272727272727273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20.09090909090909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20.09090909090909</v>
      </c>
      <c r="H7" s="5" cm="1">
        <f t="array" aca="1" ref="H7" ca="1">INDIRECT("Rapid!N" &amp; (COLUMN()-1)*3)</f>
        <v>19.727272727272727</v>
      </c>
      <c r="I7" s="5" cm="1">
        <f t="array" aca="1" ref="I7" ca="1">INDIRECT("Rapid!N" &amp; (COLUMN()-1)*3)</f>
        <v>19.818181818181817</v>
      </c>
      <c r="J7" s="5" cm="1">
        <f t="array" aca="1" ref="J7" ca="1">INDIRECT("Rapid!N" &amp; (COLUMN()-1)*3)</f>
        <v>19.90909090909091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19.545454545454547</v>
      </c>
      <c r="N7" s="5" cm="1">
        <f t="array" aca="1" ref="N7" ca="1">INDIRECT("Rapid!N" &amp; (COLUMN()-1)*3)</f>
        <v>19.272727272727273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19.363636363636363</v>
      </c>
      <c r="S7" s="5" cm="1">
        <f t="array" aca="1" ref="S7" ca="1">INDIRECT("Rapid!N" &amp; (COLUMN()-1)*3)</f>
        <v>18.90909090909091</v>
      </c>
      <c r="T7" s="5" cm="1">
        <f t="array" aca="1" ref="T7" ca="1">INDIRECT("Rapid!N" &amp; (COLUMN()-1)*3)</f>
        <v>18.545454545454547</v>
      </c>
      <c r="U7" s="5" cm="1">
        <f t="array" aca="1" ref="U7" ca="1">INDIRECT("Rapid!N" &amp; (COLUMN()-1)*3)</f>
        <v>18.545454545454547</v>
      </c>
      <c r="V7" s="5" cm="1">
        <f t="array" aca="1" ref="V7" ca="1">INDIRECT("Rapid!N" &amp; (COLUMN()-1)*3)</f>
        <v>18.90909090909091</v>
      </c>
      <c r="W7" s="5" cm="1">
        <f t="array" aca="1" ref="W7" ca="1">INDIRECT("Rapid!N" &amp; (COLUMN()-1)*3)</f>
        <v>19.09090909090909</v>
      </c>
      <c r="X7" s="5" cm="1">
        <f t="array" aca="1" ref="X7" ca="1">INDIRECT("Rapid!N" &amp; (COLUMN()-1)*3)</f>
        <v>18.727272727272727</v>
      </c>
      <c r="Y7" s="5" cm="1">
        <f t="array" aca="1" ref="Y7" ca="1">INDIRECT("Rapid!N" &amp; (COLUMN()-1)*3)</f>
        <v>19.272727272727273</v>
      </c>
      <c r="Z7" s="5" cm="1">
        <f t="array" aca="1" ref="Z7" ca="1">INDIRECT("Rapid!N" &amp; (COLUMN()-1)*3)</f>
        <v>19.272727272727273</v>
      </c>
      <c r="AA7" s="5" cm="1">
        <f t="array" aca="1" ref="AA7" ca="1">INDIRECT("Rapid!N" &amp; (COLUMN()-1)*3)</f>
        <v>19.272727272727273</v>
      </c>
    </row>
    <row r="8" spans="1:27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19.545454545454547</v>
      </c>
      <c r="I8" s="5" cm="1">
        <f t="array" aca="1" ref="I8" ca="1">INDIRECT("Liefering!N" &amp; (COLUMN()-1)*3)</f>
        <v>19.545454545454547</v>
      </c>
      <c r="J8" s="5" cm="1">
        <f t="array" aca="1" ref="J8" ca="1">INDIRECT("Liefering!N" &amp; (COLUMN()-1)*3)</f>
        <v>19.545454545454547</v>
      </c>
      <c r="K8" s="5" cm="1">
        <f t="array" aca="1" ref="K8" ca="1">INDIRECT("Liefering!N" &amp; (COLUMN()-1)*3)</f>
        <v>19.545454545454547</v>
      </c>
      <c r="L8" s="5" cm="1">
        <f t="array" aca="1" ref="L8" ca="1">INDIRECT("Liefering!N" &amp; (COLUMN()-1)*3)</f>
        <v>19.454545454545453</v>
      </c>
      <c r="M8" s="5" cm="1">
        <f t="array" aca="1" ref="M8" ca="1">INDIRECT("Liefering!N" &amp; (COLUMN()-1)*3)</f>
        <v>19.636363636363637</v>
      </c>
      <c r="N8" s="5" cm="1">
        <f t="array" aca="1" ref="N8" ca="1">INDIRECT("Liefering!N" &amp; (COLUMN()-1)*3)</f>
        <v>19.727272727272727</v>
      </c>
      <c r="O8" s="5" cm="1">
        <f t="array" aca="1" ref="O8" ca="1">INDIRECT("Liefering!N" &amp; (COLUMN()-1)*3)</f>
        <v>19.454545454545453</v>
      </c>
      <c r="P8" s="5" cm="1">
        <f t="array" aca="1" ref="P8" ca="1">INDIRECT("Liefering!N" &amp; (COLUMN()-1)*3)</f>
        <v>19.818181818181817</v>
      </c>
      <c r="Q8" s="5" cm="1">
        <f t="array" aca="1" ref="Q8" ca="1">INDIRECT("Liefering!N" &amp; (COLUMN()-1)*3)</f>
        <v>19.636363636363637</v>
      </c>
      <c r="R8" s="5" cm="1">
        <f t="array" aca="1" ref="R8" ca="1">INDIRECT("Liefering!N" &amp; (COLUMN()-1)*3)</f>
        <v>19.636363636363637</v>
      </c>
      <c r="S8" s="5" cm="1">
        <f t="array" aca="1" ref="S8" ca="1">INDIRECT("Liefering!N" &amp; (COLUMN()-1)*3)</f>
        <v>19.181818181818183</v>
      </c>
      <c r="T8" s="5" cm="1">
        <f t="array" aca="1" ref="T8" ca="1">INDIRECT("Liefering!N" &amp; (COLUMN()-1)*3)</f>
        <v>19.454545454545453</v>
      </c>
      <c r="U8" s="5" cm="1">
        <f t="array" aca="1" ref="U8" ca="1">INDIRECT("Liefering!N" &amp; (COLUMN()-1)*3)</f>
        <v>19.727272727272727</v>
      </c>
      <c r="V8" s="5" cm="1">
        <f t="array" aca="1" ref="V8" ca="1">INDIRECT("Liefering!N" &amp; (COLUMN()-1)*3)</f>
        <v>19.545454545454547</v>
      </c>
      <c r="W8" s="5" cm="1">
        <f t="array" aca="1" ref="W8" ca="1">INDIRECT("Liefering!N" &amp; (COLUMN()-1)*3)</f>
        <v>19.363636363636363</v>
      </c>
      <c r="X8" s="5" cm="1">
        <f t="array" aca="1" ref="X8" ca="1">INDIRECT("Liefering!N" &amp; (COLUMN()-1)*3)</f>
        <v>19.636363636363637</v>
      </c>
      <c r="Y8" s="5" cm="1">
        <f t="array" aca="1" ref="Y8" ca="1">INDIRECT("Liefering!N" &amp; (COLUMN()-1)*3)</f>
        <v>19.272727272727273</v>
      </c>
      <c r="Z8" s="5" cm="1">
        <f t="array" aca="1" ref="Z8" ca="1">INDIRECT("Liefering!N" &amp; (COLUMN()-1)*3)</f>
        <v>19.454545454545453</v>
      </c>
      <c r="AA8" s="5" cm="1">
        <f t="array" aca="1" ref="AA8" ca="1">INDIRECT("Liefering!N" &amp; (COLUMN()-1)*3)</f>
        <v>0</v>
      </c>
    </row>
    <row r="9" spans="1:27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20.545454545454547</v>
      </c>
      <c r="D9" s="5" cm="1">
        <f t="array" aca="1" ref="D9" ca="1">INDIRECT("Sturm!N" &amp; (COLUMN()-1)*3)</f>
        <v>20.363636363636363</v>
      </c>
      <c r="E9" s="5" cm="1">
        <f t="array" aca="1" ref="E9" ca="1">INDIRECT("Sturm!N" &amp; (COLUMN()-1)*3)</f>
        <v>20.545454545454547</v>
      </c>
      <c r="F9" s="5" cm="1">
        <f t="array" aca="1" ref="F9" ca="1">INDIRECT("Sturm!N" &amp; (COLUMN()-1)*3)</f>
        <v>20.181818181818183</v>
      </c>
      <c r="G9" s="5" cm="1">
        <f t="array" aca="1" ref="G9" ca="1">INDIRECT("Sturm!N" &amp; (COLUMN()-1)*3)</f>
        <v>20.363636363636363</v>
      </c>
      <c r="H9" s="5" cm="1">
        <f t="array" aca="1" ref="H9" ca="1">INDIRECT("Sturm!N" &amp; (COLUMN()-1)*3)</f>
        <v>21.272727272727273</v>
      </c>
      <c r="I9" s="5" cm="1">
        <f t="array" aca="1" ref="I9" ca="1">INDIRECT("Sturm!N" &amp; (COLUMN()-1)*3)</f>
        <v>20.90909090909091</v>
      </c>
      <c r="J9" s="5" cm="1">
        <f t="array" aca="1" ref="J9" ca="1">INDIRECT("Sturm!N" &amp; (COLUMN()-1)*3)</f>
        <v>21.636363636363637</v>
      </c>
      <c r="K9" s="5" cm="1">
        <f t="array" aca="1" ref="K9" ca="1">INDIRECT("Sturm!N" &amp; (COLUMN()-1)*3)</f>
        <v>21</v>
      </c>
      <c r="L9" s="5" cm="1">
        <f t="array" aca="1" ref="L9" ca="1">INDIRECT("Sturm!N" &amp; (COLUMN()-1)*3)</f>
        <v>21.09090909090909</v>
      </c>
      <c r="M9" s="5" cm="1">
        <f t="array" aca="1" ref="M9" ca="1">INDIRECT("Sturm!N" &amp; (COLUMN()-1)*3)</f>
        <v>21.09090909090909</v>
      </c>
      <c r="N9" s="5" cm="1">
        <f t="array" aca="1" ref="N9" ca="1">INDIRECT("Sturm!N" &amp; (COLUMN()-1)*3)</f>
        <v>21.181818181818183</v>
      </c>
      <c r="O9" s="5" cm="1">
        <f t="array" aca="1" ref="O9" ca="1">INDIRECT("Sturm!N" &amp; (COLUMN()-1)*3)</f>
        <v>21.818181818181817</v>
      </c>
      <c r="P9" s="5" cm="1">
        <f t="array" aca="1" ref="P9" ca="1">INDIRECT("Sturm!N" &amp; (COLUMN()-1)*3)</f>
        <v>20.636363636363637</v>
      </c>
      <c r="Q9" s="5" cm="1">
        <f t="array" aca="1" ref="Q9" ca="1">INDIRECT("Sturm!N" &amp; (COLUMN()-1)*3)</f>
        <v>21</v>
      </c>
      <c r="R9" s="5" cm="1">
        <f t="array" aca="1" ref="R9" ca="1">INDIRECT("Sturm!N" &amp; (COLUMN()-1)*3)</f>
        <v>20.636363636363637</v>
      </c>
      <c r="S9" s="5" cm="1">
        <f t="array" aca="1" ref="S9" ca="1">INDIRECT("Sturm!N" &amp; (COLUMN()-1)*3)</f>
        <v>20.727272727272727</v>
      </c>
      <c r="T9" s="5" cm="1">
        <f t="array" aca="1" ref="T9" ca="1">INDIRECT("Sturm!N" &amp; (COLUMN()-1)*3)</f>
        <v>20.90909090909091</v>
      </c>
      <c r="U9" s="5" cm="1">
        <f t="array" aca="1" ref="U9" ca="1">INDIRECT("Sturm!N" &amp; (COLUMN()-1)*3)</f>
        <v>20.818181818181817</v>
      </c>
      <c r="V9" s="5" cm="1">
        <f t="array" aca="1" ref="V9" ca="1">INDIRECT("Sturm!N" &amp; (COLUMN()-1)*3)</f>
        <v>20.90909090909091</v>
      </c>
      <c r="W9" s="5" cm="1">
        <f t="array" aca="1" ref="W9" ca="1">INDIRECT("Sturm!N" &amp; (COLUMN()-1)*3)</f>
        <v>20.90909090909091</v>
      </c>
      <c r="X9" s="5" cm="1">
        <f t="array" aca="1" ref="X9" ca="1">INDIRECT("Sturm!N" &amp; (COLUMN()-1)*3)</f>
        <v>21.09090909090909</v>
      </c>
      <c r="Y9" s="5" cm="1">
        <f t="array" aca="1" ref="Y9" ca="1">INDIRECT("Sturm!N" &amp; (COLUMN()-1)*3)</f>
        <v>20.363636363636363</v>
      </c>
      <c r="Z9" s="5" cm="1">
        <f t="array" aca="1" ref="Z9" ca="1">INDIRECT("Sturm!N" &amp; (COLUMN()-1)*3)</f>
        <v>20.818181818181817</v>
      </c>
      <c r="AA9" s="5" cm="1">
        <f t="array" aca="1" ref="AA9" ca="1">INDIRECT("Sturm!N" &amp; (COLUMN()-1)*3)</f>
        <v>20.545454545454547</v>
      </c>
    </row>
    <row r="10" spans="1:27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7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7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7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7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7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7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AA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13" zoomScale="90" zoomScaleNormal="90" workbookViewId="0">
      <selection activeCell="T19" sqref="T19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19.889328063241102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311</v>
      </c>
      <c r="I2" t="s">
        <v>82</v>
      </c>
      <c r="J2" t="s">
        <v>77</v>
      </c>
      <c r="K2" t="s">
        <v>83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84</v>
      </c>
      <c r="B5" t="s">
        <v>105</v>
      </c>
      <c r="C5" t="s">
        <v>75</v>
      </c>
      <c r="D5" t="s">
        <v>1</v>
      </c>
      <c r="E5" t="s">
        <v>80</v>
      </c>
      <c r="F5" t="s">
        <v>0</v>
      </c>
      <c r="G5" t="s">
        <v>106</v>
      </c>
      <c r="H5" t="s">
        <v>107</v>
      </c>
      <c r="I5" t="s">
        <v>82</v>
      </c>
      <c r="J5" t="s">
        <v>77</v>
      </c>
      <c r="K5" t="s">
        <v>108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21</v>
      </c>
      <c r="N6" s="1">
        <f ca="1">AVERAGE(B6:M6)</f>
        <v>18.727272727272727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159</v>
      </c>
      <c r="H8" t="s">
        <v>311</v>
      </c>
      <c r="I8" t="s">
        <v>107</v>
      </c>
      <c r="J8" t="s">
        <v>77</v>
      </c>
      <c r="K8" t="s">
        <v>160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21</v>
      </c>
      <c r="N9" s="1">
        <f ca="1">AVERAGE(B9:M9)</f>
        <v>21.272727272727273</v>
      </c>
    </row>
    <row r="10" spans="1:14" x14ac:dyDescent="0.3">
      <c r="N10" s="1"/>
    </row>
    <row r="11" spans="1:14" x14ac:dyDescent="0.3">
      <c r="A11" t="s">
        <v>164</v>
      </c>
      <c r="B11" t="s">
        <v>105</v>
      </c>
      <c r="C11" t="s">
        <v>75</v>
      </c>
      <c r="D11" t="s">
        <v>1</v>
      </c>
      <c r="E11" t="s">
        <v>80</v>
      </c>
      <c r="F11" t="s">
        <v>0</v>
      </c>
      <c r="G11" t="s">
        <v>165</v>
      </c>
      <c r="H11" t="s">
        <v>82</v>
      </c>
      <c r="I11" t="s">
        <v>81</v>
      </c>
      <c r="J11" t="s">
        <v>77</v>
      </c>
      <c r="K11" t="s">
        <v>160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19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21</v>
      </c>
      <c r="N12" s="1">
        <f ca="1">AVERAGE(B12:M12)</f>
        <v>20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311</v>
      </c>
      <c r="I14" t="s">
        <v>82</v>
      </c>
      <c r="J14" t="s">
        <v>77</v>
      </c>
      <c r="K14" t="s">
        <v>160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19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21</v>
      </c>
      <c r="N15" s="1">
        <f ca="1">AVERAGE(B15:M15)</f>
        <v>20.90909090909091</v>
      </c>
    </row>
    <row r="17" spans="1:20" x14ac:dyDescent="0.3">
      <c r="A17" t="s">
        <v>112</v>
      </c>
      <c r="B17" t="s">
        <v>189</v>
      </c>
      <c r="C17" t="s">
        <v>75</v>
      </c>
      <c r="D17" t="s">
        <v>1</v>
      </c>
      <c r="E17" t="s">
        <v>190</v>
      </c>
      <c r="F17" t="s">
        <v>0</v>
      </c>
      <c r="G17" t="s">
        <v>81</v>
      </c>
      <c r="H17" t="s">
        <v>311</v>
      </c>
      <c r="I17" t="s">
        <v>159</v>
      </c>
      <c r="J17" t="s">
        <v>77</v>
      </c>
      <c r="K17" t="s">
        <v>83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21</v>
      </c>
      <c r="N18" s="1">
        <f ca="1">AVERAGE(B18:M18)</f>
        <v>19.09090909090909</v>
      </c>
      <c r="P18" t="s">
        <v>3</v>
      </c>
      <c r="Q18" s="6">
        <v>36024</v>
      </c>
      <c r="T18">
        <v>39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194</v>
      </c>
      <c r="B20" t="s">
        <v>105</v>
      </c>
      <c r="C20" t="s">
        <v>75</v>
      </c>
      <c r="D20" t="s">
        <v>81</v>
      </c>
      <c r="E20" t="s">
        <v>80</v>
      </c>
      <c r="F20" t="s">
        <v>106</v>
      </c>
      <c r="G20" t="s">
        <v>0</v>
      </c>
      <c r="H20" t="s">
        <v>77</v>
      </c>
      <c r="I20" t="s">
        <v>195</v>
      </c>
      <c r="J20" t="s">
        <v>107</v>
      </c>
      <c r="K20" t="s">
        <v>83</v>
      </c>
      <c r="L20" t="s">
        <v>190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19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18.727272727272727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102</v>
      </c>
      <c r="B23" t="s">
        <v>3</v>
      </c>
      <c r="C23" t="s">
        <v>75</v>
      </c>
      <c r="D23" t="s">
        <v>81</v>
      </c>
      <c r="E23" t="s">
        <v>1</v>
      </c>
      <c r="F23" t="s">
        <v>106</v>
      </c>
      <c r="G23" t="s">
        <v>0</v>
      </c>
      <c r="H23" t="s">
        <v>2</v>
      </c>
      <c r="I23" t="s">
        <v>195</v>
      </c>
      <c r="J23" t="s">
        <v>82</v>
      </c>
      <c r="K23" t="s">
        <v>83</v>
      </c>
      <c r="L23" t="s">
        <v>218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21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19.727272727272727</v>
      </c>
      <c r="P24" t="s">
        <v>0</v>
      </c>
      <c r="Q24" s="6">
        <v>39290</v>
      </c>
    </row>
    <row r="25" spans="1:20" x14ac:dyDescent="0.3">
      <c r="P25" t="s">
        <v>82</v>
      </c>
      <c r="Q25" s="6">
        <v>39266</v>
      </c>
    </row>
    <row r="26" spans="1:20" x14ac:dyDescent="0.3">
      <c r="A26" t="s">
        <v>149</v>
      </c>
      <c r="B26" t="s">
        <v>105</v>
      </c>
      <c r="C26" t="s">
        <v>75</v>
      </c>
      <c r="D26" t="s">
        <v>81</v>
      </c>
      <c r="E26" t="s">
        <v>1</v>
      </c>
      <c r="F26" t="s">
        <v>106</v>
      </c>
      <c r="G26" t="s">
        <v>0</v>
      </c>
      <c r="H26" t="s">
        <v>2</v>
      </c>
      <c r="I26" t="s">
        <v>195</v>
      </c>
      <c r="J26" t="s">
        <v>82</v>
      </c>
      <c r="K26" t="s">
        <v>83</v>
      </c>
      <c r="L26" t="s">
        <v>218</v>
      </c>
      <c r="P26" t="s">
        <v>311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21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18.818181818181817</v>
      </c>
      <c r="P27" t="s">
        <v>83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166</v>
      </c>
      <c r="B29" t="s">
        <v>3</v>
      </c>
      <c r="C29" t="s">
        <v>75</v>
      </c>
      <c r="D29" t="s">
        <v>81</v>
      </c>
      <c r="E29" t="s">
        <v>1</v>
      </c>
      <c r="F29" t="s">
        <v>106</v>
      </c>
      <c r="G29" t="s">
        <v>0</v>
      </c>
      <c r="H29" t="s">
        <v>2</v>
      </c>
      <c r="I29" t="s">
        <v>195</v>
      </c>
      <c r="J29" t="s">
        <v>159</v>
      </c>
      <c r="K29" t="s">
        <v>311</v>
      </c>
      <c r="L29" t="s">
        <v>218</v>
      </c>
      <c r="P29" t="s">
        <v>105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21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19.727272727272727</v>
      </c>
      <c r="P30" t="s">
        <v>106</v>
      </c>
      <c r="Q30" s="6">
        <v>39653</v>
      </c>
    </row>
    <row r="31" spans="1:20" x14ac:dyDescent="0.3">
      <c r="P31" t="s">
        <v>108</v>
      </c>
      <c r="Q31" s="6">
        <v>39418</v>
      </c>
    </row>
    <row r="32" spans="1:20" x14ac:dyDescent="0.3">
      <c r="A32" t="s">
        <v>174</v>
      </c>
      <c r="B32" t="s">
        <v>3</v>
      </c>
      <c r="C32" t="s">
        <v>75</v>
      </c>
      <c r="D32" t="s">
        <v>81</v>
      </c>
      <c r="E32" t="s">
        <v>190</v>
      </c>
      <c r="F32" t="s">
        <v>106</v>
      </c>
      <c r="G32" t="s">
        <v>0</v>
      </c>
      <c r="H32" t="s">
        <v>2</v>
      </c>
      <c r="I32" t="s">
        <v>195</v>
      </c>
      <c r="J32" t="s">
        <v>77</v>
      </c>
      <c r="K32" t="s">
        <v>311</v>
      </c>
      <c r="L32" t="s">
        <v>218</v>
      </c>
      <c r="P32" t="s">
        <v>107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21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19.454545454545453</v>
      </c>
      <c r="P33" t="s">
        <v>159</v>
      </c>
      <c r="Q33" s="6">
        <v>38665</v>
      </c>
    </row>
    <row r="34" spans="1:17" x14ac:dyDescent="0.3">
      <c r="P34" t="s">
        <v>160</v>
      </c>
      <c r="Q34" s="6">
        <v>33804</v>
      </c>
    </row>
    <row r="35" spans="1:17" x14ac:dyDescent="0.3">
      <c r="A35" t="s">
        <v>191</v>
      </c>
      <c r="B35" t="s">
        <v>3</v>
      </c>
      <c r="C35" t="s">
        <v>75</v>
      </c>
      <c r="D35" t="s">
        <v>81</v>
      </c>
      <c r="E35" t="s">
        <v>190</v>
      </c>
      <c r="F35" t="s">
        <v>106</v>
      </c>
      <c r="G35" t="s">
        <v>0</v>
      </c>
      <c r="H35" t="s">
        <v>2</v>
      </c>
      <c r="I35" t="s">
        <v>195</v>
      </c>
      <c r="J35" t="s">
        <v>159</v>
      </c>
      <c r="K35" t="s">
        <v>311</v>
      </c>
      <c r="L35" t="s">
        <v>218</v>
      </c>
      <c r="P35" t="s">
        <v>165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19.545454545454547</v>
      </c>
      <c r="P36" t="s">
        <v>190</v>
      </c>
      <c r="Q36" s="6">
        <v>39361</v>
      </c>
    </row>
    <row r="37" spans="1:17" x14ac:dyDescent="0.3">
      <c r="P37" t="s">
        <v>189</v>
      </c>
      <c r="Q37" s="6">
        <v>38982</v>
      </c>
    </row>
    <row r="38" spans="1:17" x14ac:dyDescent="0.3">
      <c r="A38" t="s">
        <v>198</v>
      </c>
      <c r="B38" t="s">
        <v>50</v>
      </c>
      <c r="C38" t="s">
        <v>75</v>
      </c>
      <c r="D38" t="s">
        <v>81</v>
      </c>
      <c r="E38" t="s">
        <v>107</v>
      </c>
      <c r="F38" t="s">
        <v>245</v>
      </c>
      <c r="G38" t="s">
        <v>0</v>
      </c>
      <c r="H38" t="s">
        <v>2</v>
      </c>
      <c r="I38" t="s">
        <v>195</v>
      </c>
      <c r="J38" t="s">
        <v>82</v>
      </c>
      <c r="K38" t="s">
        <v>83</v>
      </c>
      <c r="L38" t="s">
        <v>218</v>
      </c>
      <c r="P38" t="s">
        <v>195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21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18.90909090909091</v>
      </c>
      <c r="P39" t="s">
        <v>218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228</v>
      </c>
      <c r="B41" t="s">
        <v>3</v>
      </c>
      <c r="C41" t="s">
        <v>75</v>
      </c>
      <c r="D41" t="s">
        <v>81</v>
      </c>
      <c r="E41" t="s">
        <v>107</v>
      </c>
      <c r="F41" t="s">
        <v>106</v>
      </c>
      <c r="G41" t="s">
        <v>0</v>
      </c>
      <c r="H41" t="s">
        <v>2</v>
      </c>
      <c r="I41" t="s">
        <v>195</v>
      </c>
      <c r="J41" t="s">
        <v>82</v>
      </c>
      <c r="K41" t="s">
        <v>165</v>
      </c>
      <c r="L41" t="s">
        <v>218</v>
      </c>
      <c r="P41" t="s">
        <v>245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21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19.636363636363637</v>
      </c>
      <c r="P42" t="s">
        <v>260</v>
      </c>
      <c r="Q42" s="6">
        <v>39739</v>
      </c>
    </row>
    <row r="43" spans="1:17" x14ac:dyDescent="0.3">
      <c r="P43" t="s">
        <v>259</v>
      </c>
      <c r="Q43" s="6">
        <v>39667</v>
      </c>
    </row>
    <row r="44" spans="1:17" x14ac:dyDescent="0.3">
      <c r="A44" t="s">
        <v>229</v>
      </c>
      <c r="B44" t="s">
        <v>105</v>
      </c>
      <c r="C44" t="s">
        <v>75</v>
      </c>
      <c r="D44" t="s">
        <v>81</v>
      </c>
      <c r="E44" t="s">
        <v>107</v>
      </c>
      <c r="F44" t="s">
        <v>106</v>
      </c>
      <c r="G44" t="s">
        <v>0</v>
      </c>
      <c r="H44" t="s">
        <v>2</v>
      </c>
      <c r="I44" t="s">
        <v>77</v>
      </c>
      <c r="J44" t="s">
        <v>82</v>
      </c>
      <c r="K44" t="s">
        <v>165</v>
      </c>
      <c r="L44" t="s">
        <v>218</v>
      </c>
      <c r="P44" t="s">
        <v>277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21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18.636363636363637</v>
      </c>
      <c r="P45" t="s">
        <v>278</v>
      </c>
      <c r="Q45" s="6">
        <v>37129</v>
      </c>
    </row>
    <row r="46" spans="1:17" x14ac:dyDescent="0.3">
      <c r="P46" t="s">
        <v>279</v>
      </c>
      <c r="Q46" s="6">
        <v>37139</v>
      </c>
    </row>
    <row r="47" spans="1:17" x14ac:dyDescent="0.3">
      <c r="A47" t="s">
        <v>4</v>
      </c>
      <c r="B47" t="s">
        <v>278</v>
      </c>
      <c r="C47" t="s">
        <v>75</v>
      </c>
      <c r="D47" t="s">
        <v>81</v>
      </c>
      <c r="E47" t="s">
        <v>107</v>
      </c>
      <c r="F47" t="s">
        <v>1</v>
      </c>
      <c r="G47" t="s">
        <v>0</v>
      </c>
      <c r="H47" t="s">
        <v>190</v>
      </c>
      <c r="I47" t="s">
        <v>260</v>
      </c>
      <c r="J47" t="s">
        <v>82</v>
      </c>
      <c r="K47" t="s">
        <v>165</v>
      </c>
      <c r="L47" t="s">
        <v>279</v>
      </c>
      <c r="P47" t="s">
        <v>280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281</v>
      </c>
      <c r="Q48" s="6">
        <v>39468</v>
      </c>
    </row>
    <row r="49" spans="1:17" x14ac:dyDescent="0.3">
      <c r="P49" t="s">
        <v>282</v>
      </c>
      <c r="Q49" s="6">
        <v>38486</v>
      </c>
    </row>
    <row r="50" spans="1:17" x14ac:dyDescent="0.3">
      <c r="A50" t="s">
        <v>84</v>
      </c>
      <c r="B50" t="s">
        <v>293</v>
      </c>
      <c r="C50" t="s">
        <v>283</v>
      </c>
      <c r="D50" t="s">
        <v>218</v>
      </c>
      <c r="E50" t="s">
        <v>107</v>
      </c>
      <c r="F50" t="s">
        <v>1</v>
      </c>
      <c r="G50" t="s">
        <v>0</v>
      </c>
      <c r="H50" t="s">
        <v>2</v>
      </c>
      <c r="I50" t="s">
        <v>260</v>
      </c>
      <c r="J50" t="s">
        <v>82</v>
      </c>
      <c r="K50" t="s">
        <v>165</v>
      </c>
      <c r="L50" t="s">
        <v>279</v>
      </c>
      <c r="P50" t="s">
        <v>283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21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19.818181818181817</v>
      </c>
      <c r="P51" t="s">
        <v>293</v>
      </c>
      <c r="Q51" s="6">
        <v>38384</v>
      </c>
    </row>
    <row r="52" spans="1:17" x14ac:dyDescent="0.3">
      <c r="P52" t="s">
        <v>301</v>
      </c>
      <c r="Q52" s="6">
        <v>38569</v>
      </c>
    </row>
    <row r="53" spans="1:17" x14ac:dyDescent="0.3">
      <c r="A53" t="s">
        <v>16</v>
      </c>
      <c r="B53" t="s">
        <v>293</v>
      </c>
      <c r="C53" t="s">
        <v>283</v>
      </c>
      <c r="D53" t="s">
        <v>81</v>
      </c>
      <c r="E53" t="s">
        <v>282</v>
      </c>
      <c r="F53" t="s">
        <v>1</v>
      </c>
      <c r="G53" t="s">
        <v>0</v>
      </c>
      <c r="H53" t="s">
        <v>2</v>
      </c>
      <c r="I53" t="s">
        <v>277</v>
      </c>
      <c r="J53" t="s">
        <v>82</v>
      </c>
      <c r="K53" t="s">
        <v>75</v>
      </c>
      <c r="L53" t="s">
        <v>279</v>
      </c>
      <c r="P53" t="s">
        <v>312</v>
      </c>
      <c r="Q53" s="6">
        <v>34902</v>
      </c>
    </row>
    <row r="54" spans="1:17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21</v>
      </c>
      <c r="D54">
        <f t="shared" ca="1" si="17"/>
        <v>19</v>
      </c>
      <c r="E54">
        <f t="shared" ca="1" si="17"/>
        <v>20</v>
      </c>
      <c r="F54">
        <f t="shared" ca="1" si="17"/>
        <v>20</v>
      </c>
      <c r="G54">
        <f t="shared" ca="1" si="17"/>
        <v>18</v>
      </c>
      <c r="H54">
        <f t="shared" ca="1" si="17"/>
        <v>21</v>
      </c>
      <c r="I54">
        <f t="shared" ca="1" si="17"/>
        <v>23</v>
      </c>
      <c r="J54">
        <f t="shared" ca="1" si="17"/>
        <v>18</v>
      </c>
      <c r="K54">
        <f t="shared" ca="1" si="17"/>
        <v>18</v>
      </c>
      <c r="L54">
        <f t="shared" ca="1" si="17"/>
        <v>24</v>
      </c>
      <c r="N54" s="1">
        <f ca="1">AVERAGE(B54:M54)</f>
        <v>20.272727272727273</v>
      </c>
      <c r="P54" t="s">
        <v>321</v>
      </c>
      <c r="Q54" s="6">
        <v>32928</v>
      </c>
    </row>
    <row r="55" spans="1:17" x14ac:dyDescent="0.3">
      <c r="P55" t="s">
        <v>322</v>
      </c>
      <c r="Q55" s="6">
        <v>39743</v>
      </c>
    </row>
    <row r="56" spans="1:17" x14ac:dyDescent="0.3">
      <c r="A56" t="s">
        <v>164</v>
      </c>
      <c r="B56" t="s">
        <v>189</v>
      </c>
      <c r="C56" t="s">
        <v>283</v>
      </c>
      <c r="D56" t="s">
        <v>81</v>
      </c>
      <c r="E56" t="s">
        <v>190</v>
      </c>
      <c r="F56" t="s">
        <v>1</v>
      </c>
      <c r="G56" t="s">
        <v>0</v>
      </c>
      <c r="H56" t="s">
        <v>2</v>
      </c>
      <c r="I56" t="s">
        <v>165</v>
      </c>
      <c r="J56" t="s">
        <v>82</v>
      </c>
      <c r="K56" t="s">
        <v>75</v>
      </c>
      <c r="L56" t="s">
        <v>279</v>
      </c>
      <c r="P56" t="s">
        <v>330</v>
      </c>
      <c r="Q56" s="6">
        <v>39773</v>
      </c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21</v>
      </c>
      <c r="D57">
        <f t="shared" ca="1" si="18"/>
        <v>19</v>
      </c>
      <c r="E57">
        <f t="shared" ca="1" si="18"/>
        <v>18</v>
      </c>
      <c r="F57">
        <f t="shared" ca="1" si="18"/>
        <v>20</v>
      </c>
      <c r="G57">
        <f t="shared" ca="1" si="18"/>
        <v>18</v>
      </c>
      <c r="H57">
        <f t="shared" ca="1" si="18"/>
        <v>21</v>
      </c>
      <c r="I57">
        <f t="shared" ca="1" si="18"/>
        <v>18</v>
      </c>
      <c r="J57">
        <f t="shared" ca="1" si="18"/>
        <v>18</v>
      </c>
      <c r="K57">
        <f t="shared" ca="1" si="18"/>
        <v>18</v>
      </c>
      <c r="L57">
        <f t="shared" ca="1" si="18"/>
        <v>24</v>
      </c>
      <c r="N57" s="1">
        <f ca="1">AVERAGE(B57:M57)</f>
        <v>19.454545454545453</v>
      </c>
    </row>
    <row r="59" spans="1:17" x14ac:dyDescent="0.3">
      <c r="A59" t="s">
        <v>15</v>
      </c>
      <c r="B59" t="s">
        <v>293</v>
      </c>
      <c r="C59" t="s">
        <v>283</v>
      </c>
      <c r="D59" t="s">
        <v>81</v>
      </c>
      <c r="E59" t="s">
        <v>312</v>
      </c>
      <c r="F59" t="s">
        <v>1</v>
      </c>
      <c r="G59" t="s">
        <v>0</v>
      </c>
      <c r="H59" t="s">
        <v>2</v>
      </c>
      <c r="I59" t="s">
        <v>311</v>
      </c>
      <c r="J59" t="s">
        <v>82</v>
      </c>
      <c r="K59" t="s">
        <v>160</v>
      </c>
      <c r="L59" t="s">
        <v>279</v>
      </c>
    </row>
    <row r="60" spans="1:17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21</v>
      </c>
      <c r="D60">
        <f t="shared" ca="1" si="19"/>
        <v>19</v>
      </c>
      <c r="E60">
        <f t="shared" ca="1" si="19"/>
        <v>30</v>
      </c>
      <c r="F60">
        <f t="shared" ca="1" si="19"/>
        <v>20</v>
      </c>
      <c r="G60">
        <f t="shared" ca="1" si="19"/>
        <v>18</v>
      </c>
      <c r="H60">
        <f t="shared" ca="1" si="19"/>
        <v>21</v>
      </c>
      <c r="I60">
        <f t="shared" ca="1" si="19"/>
        <v>18</v>
      </c>
      <c r="J60">
        <f t="shared" ca="1" si="19"/>
        <v>18</v>
      </c>
      <c r="K60">
        <f t="shared" ca="1" si="19"/>
        <v>33</v>
      </c>
      <c r="L60">
        <f t="shared" ca="1" si="19"/>
        <v>24</v>
      </c>
      <c r="N60" s="1">
        <f ca="1">AVERAGE(B60:M60)</f>
        <v>22.09090909090909</v>
      </c>
    </row>
    <row r="62" spans="1:17" x14ac:dyDescent="0.3">
      <c r="A62" t="s">
        <v>112</v>
      </c>
      <c r="B62" t="s">
        <v>278</v>
      </c>
      <c r="C62" t="s">
        <v>283</v>
      </c>
      <c r="D62" t="s">
        <v>81</v>
      </c>
      <c r="E62" t="s">
        <v>312</v>
      </c>
      <c r="F62" t="s">
        <v>277</v>
      </c>
      <c r="G62" t="s">
        <v>0</v>
      </c>
      <c r="H62" t="s">
        <v>2</v>
      </c>
      <c r="I62" t="s">
        <v>311</v>
      </c>
      <c r="J62" t="s">
        <v>82</v>
      </c>
      <c r="K62" t="s">
        <v>282</v>
      </c>
      <c r="L62" t="s">
        <v>279</v>
      </c>
    </row>
    <row r="63" spans="1:17" x14ac:dyDescent="0.3">
      <c r="B63">
        <f ca="1">DATEDIF(VLOOKUP(B62,$P$18:$Q$100,2,FALSE),TODAY(),"Y")</f>
        <v>24</v>
      </c>
      <c r="C63">
        <f t="shared" ref="C63:L63" ca="1" si="20">DATEDIF(VLOOKUP(C62,$P$18:$Q$100,2,FALSE),TODAY(),"Y")</f>
        <v>21</v>
      </c>
      <c r="D63">
        <f t="shared" ca="1" si="20"/>
        <v>19</v>
      </c>
      <c r="E63">
        <f t="shared" ca="1" si="20"/>
        <v>30</v>
      </c>
      <c r="F63">
        <f t="shared" ca="1" si="20"/>
        <v>23</v>
      </c>
      <c r="G63">
        <f t="shared" ca="1" si="20"/>
        <v>18</v>
      </c>
      <c r="H63">
        <f t="shared" ca="1" si="20"/>
        <v>21</v>
      </c>
      <c r="I63">
        <f t="shared" ca="1" si="20"/>
        <v>18</v>
      </c>
      <c r="J63">
        <f t="shared" ca="1" si="20"/>
        <v>18</v>
      </c>
      <c r="K63">
        <f t="shared" ca="1" si="20"/>
        <v>20</v>
      </c>
      <c r="L63">
        <f t="shared" ca="1" si="20"/>
        <v>24</v>
      </c>
      <c r="N63" s="1">
        <f ca="1">AVERAGE(B63:M63)</f>
        <v>21.454545454545453</v>
      </c>
    </row>
    <row r="65" spans="1:14" x14ac:dyDescent="0.3">
      <c r="A65" t="s">
        <v>194</v>
      </c>
      <c r="B65" t="s">
        <v>278</v>
      </c>
      <c r="C65" t="s">
        <v>283</v>
      </c>
      <c r="D65" t="s">
        <v>321</v>
      </c>
      <c r="E65" t="s">
        <v>312</v>
      </c>
      <c r="F65" t="s">
        <v>277</v>
      </c>
      <c r="G65" t="s">
        <v>0</v>
      </c>
      <c r="H65" t="s">
        <v>2</v>
      </c>
      <c r="I65" t="s">
        <v>301</v>
      </c>
      <c r="J65" t="s">
        <v>82</v>
      </c>
      <c r="K65" t="s">
        <v>218</v>
      </c>
      <c r="L65" t="s">
        <v>279</v>
      </c>
    </row>
    <row r="66" spans="1:14" x14ac:dyDescent="0.3">
      <c r="B66">
        <f ca="1">DATEDIF(VLOOKUP(B65,$P$18:$Q$100,2,FALSE),TODAY(),"Y")</f>
        <v>24</v>
      </c>
      <c r="C66">
        <f t="shared" ref="C66:L66" ca="1" si="21">DATEDIF(VLOOKUP(C65,$P$18:$Q$100,2,FALSE),TODAY(),"Y")</f>
        <v>21</v>
      </c>
      <c r="D66">
        <f t="shared" ca="1" si="21"/>
        <v>36</v>
      </c>
      <c r="E66">
        <f t="shared" ca="1" si="21"/>
        <v>30</v>
      </c>
      <c r="F66">
        <f t="shared" ca="1" si="21"/>
        <v>23</v>
      </c>
      <c r="G66">
        <f t="shared" ca="1" si="21"/>
        <v>18</v>
      </c>
      <c r="H66">
        <f t="shared" ca="1" si="21"/>
        <v>21</v>
      </c>
      <c r="I66">
        <f t="shared" ca="1" si="21"/>
        <v>20</v>
      </c>
      <c r="J66">
        <f t="shared" ca="1" si="21"/>
        <v>18</v>
      </c>
      <c r="K66">
        <f t="shared" ca="1" si="21"/>
        <v>19</v>
      </c>
      <c r="L66">
        <f t="shared" ca="1" si="21"/>
        <v>24</v>
      </c>
      <c r="N66" s="1">
        <f ca="1">AVERAGE(B66:M66)</f>
        <v>23.09090909090909</v>
      </c>
    </row>
    <row r="68" spans="1:14" x14ac:dyDescent="0.3">
      <c r="A68" t="s">
        <v>102</v>
      </c>
      <c r="B68" t="s">
        <v>293</v>
      </c>
      <c r="C68" t="s">
        <v>283</v>
      </c>
      <c r="D68" t="s">
        <v>81</v>
      </c>
      <c r="E68" t="s">
        <v>330</v>
      </c>
      <c r="F68" t="s">
        <v>322</v>
      </c>
      <c r="G68" t="s">
        <v>0</v>
      </c>
      <c r="H68" t="s">
        <v>190</v>
      </c>
      <c r="I68" t="s">
        <v>280</v>
      </c>
      <c r="J68" t="s">
        <v>82</v>
      </c>
      <c r="K68" t="s">
        <v>260</v>
      </c>
      <c r="L68" t="s">
        <v>279</v>
      </c>
    </row>
    <row r="69" spans="1:14" x14ac:dyDescent="0.3">
      <c r="B69">
        <f ca="1">DATEDIF(VLOOKUP(B68,$P$18:$Q$100,2,FALSE),TODAY(),"Y")</f>
        <v>21</v>
      </c>
      <c r="C69">
        <f t="shared" ref="C69:L69" ca="1" si="22">DATEDIF(VLOOKUP(C68,$P$18:$Q$100,2,FALSE),TODAY(),"Y")</f>
        <v>21</v>
      </c>
      <c r="D69">
        <f t="shared" ca="1" si="22"/>
        <v>19</v>
      </c>
      <c r="E69">
        <f t="shared" ca="1" si="22"/>
        <v>17</v>
      </c>
      <c r="F69">
        <f t="shared" ca="1" si="22"/>
        <v>17</v>
      </c>
      <c r="G69">
        <f t="shared" ca="1" si="22"/>
        <v>18</v>
      </c>
      <c r="H69">
        <f t="shared" ca="1" si="22"/>
        <v>18</v>
      </c>
      <c r="I69">
        <f t="shared" ca="1" si="22"/>
        <v>17</v>
      </c>
      <c r="J69">
        <f t="shared" ca="1" si="22"/>
        <v>18</v>
      </c>
      <c r="K69">
        <f t="shared" ca="1" si="22"/>
        <v>17</v>
      </c>
      <c r="L69">
        <f t="shared" ca="1" si="22"/>
        <v>24</v>
      </c>
      <c r="N69" s="1">
        <f ca="1">AVERAGE(B69:M69)</f>
        <v>18.818181818181817</v>
      </c>
    </row>
    <row r="71" spans="1:14" x14ac:dyDescent="0.3">
      <c r="N71" s="1"/>
    </row>
    <row r="72" spans="1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69"/>
  <sheetViews>
    <sheetView topLeftCell="A18" zoomScaleNormal="100" workbookViewId="0">
      <selection activeCell="E35" sqref="E35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20.138339920948617</v>
      </c>
    </row>
    <row r="2" spans="1:14" x14ac:dyDescent="0.3">
      <c r="A2" t="s">
        <v>5</v>
      </c>
      <c r="B2" t="s">
        <v>85</v>
      </c>
      <c r="C2" t="s">
        <v>6</v>
      </c>
      <c r="D2" t="s">
        <v>34</v>
      </c>
      <c r="E2" t="s">
        <v>36</v>
      </c>
      <c r="F2" t="s">
        <v>7</v>
      </c>
      <c r="G2" t="s">
        <v>86</v>
      </c>
      <c r="H2" t="s">
        <v>8</v>
      </c>
      <c r="I2" t="s">
        <v>37</v>
      </c>
      <c r="J2" t="s">
        <v>35</v>
      </c>
      <c r="K2" t="s">
        <v>87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20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20.363636363636363</v>
      </c>
    </row>
    <row r="5" spans="1:14" x14ac:dyDescent="0.3">
      <c r="A5" t="s">
        <v>102</v>
      </c>
      <c r="B5" t="s">
        <v>85</v>
      </c>
      <c r="C5" t="s">
        <v>6</v>
      </c>
      <c r="D5" t="s">
        <v>34</v>
      </c>
      <c r="E5" t="s">
        <v>36</v>
      </c>
      <c r="F5" t="s">
        <v>103</v>
      </c>
      <c r="G5" t="s">
        <v>86</v>
      </c>
      <c r="H5" t="s">
        <v>8</v>
      </c>
      <c r="I5" t="s">
        <v>37</v>
      </c>
      <c r="J5" t="s">
        <v>35</v>
      </c>
      <c r="K5" t="s">
        <v>87</v>
      </c>
      <c r="L5" t="s">
        <v>104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20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20.636363636363637</v>
      </c>
    </row>
    <row r="8" spans="1:14" x14ac:dyDescent="0.3">
      <c r="A8" t="s">
        <v>149</v>
      </c>
      <c r="B8" t="s">
        <v>85</v>
      </c>
      <c r="C8" t="s">
        <v>6</v>
      </c>
      <c r="D8" t="s">
        <v>34</v>
      </c>
      <c r="E8" t="s">
        <v>36</v>
      </c>
      <c r="F8" t="s">
        <v>150</v>
      </c>
      <c r="G8" t="s">
        <v>86</v>
      </c>
      <c r="H8" t="s">
        <v>8</v>
      </c>
      <c r="I8" t="s">
        <v>151</v>
      </c>
      <c r="J8" t="s">
        <v>152</v>
      </c>
      <c r="K8" t="s">
        <v>87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21</v>
      </c>
      <c r="K9">
        <f t="shared" ca="1" si="2"/>
        <v>19</v>
      </c>
      <c r="L9">
        <f t="shared" ca="1" si="2"/>
        <v>20</v>
      </c>
      <c r="N9" s="1">
        <f ca="1">AVERAGE(B9:M9)</f>
        <v>20.454545454545453</v>
      </c>
    </row>
    <row r="11" spans="1:14" x14ac:dyDescent="0.3">
      <c r="A11" t="s">
        <v>166</v>
      </c>
      <c r="B11" t="s">
        <v>85</v>
      </c>
      <c r="C11" t="s">
        <v>6</v>
      </c>
      <c r="D11" t="s">
        <v>34</v>
      </c>
      <c r="E11" t="s">
        <v>167</v>
      </c>
      <c r="F11" t="s">
        <v>35</v>
      </c>
      <c r="G11" t="s">
        <v>168</v>
      </c>
      <c r="H11" t="s">
        <v>8</v>
      </c>
      <c r="I11" t="s">
        <v>103</v>
      </c>
      <c r="J11" t="s">
        <v>152</v>
      </c>
      <c r="K11" t="s">
        <v>87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19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21</v>
      </c>
      <c r="K12">
        <f t="shared" ca="1" si="3"/>
        <v>19</v>
      </c>
      <c r="L12">
        <f t="shared" ca="1" si="3"/>
        <v>20</v>
      </c>
      <c r="N12" s="1">
        <f ca="1">AVERAGE(B12:M12)</f>
        <v>19.90909090909091</v>
      </c>
    </row>
    <row r="14" spans="1:14" x14ac:dyDescent="0.3">
      <c r="A14" t="s">
        <v>174</v>
      </c>
      <c r="B14" t="s">
        <v>85</v>
      </c>
      <c r="C14" t="s">
        <v>6</v>
      </c>
      <c r="D14" t="s">
        <v>34</v>
      </c>
      <c r="E14" t="s">
        <v>36</v>
      </c>
      <c r="F14" t="s">
        <v>35</v>
      </c>
      <c r="G14" t="s">
        <v>150</v>
      </c>
      <c r="H14" t="s">
        <v>8</v>
      </c>
      <c r="I14" t="s">
        <v>103</v>
      </c>
      <c r="J14" t="s">
        <v>151</v>
      </c>
      <c r="K14" t="s">
        <v>87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20.181818181818183</v>
      </c>
    </row>
    <row r="17" spans="1:20" x14ac:dyDescent="0.3">
      <c r="A17" t="s">
        <v>191</v>
      </c>
      <c r="B17" t="s">
        <v>85</v>
      </c>
      <c r="C17" t="s">
        <v>6</v>
      </c>
      <c r="D17" t="s">
        <v>34</v>
      </c>
      <c r="E17" t="s">
        <v>36</v>
      </c>
      <c r="F17" t="s">
        <v>86</v>
      </c>
      <c r="G17" t="s">
        <v>150</v>
      </c>
      <c r="H17" t="s">
        <v>8</v>
      </c>
      <c r="I17" t="s">
        <v>37</v>
      </c>
      <c r="J17" t="s">
        <v>151</v>
      </c>
      <c r="K17" t="s">
        <v>87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20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20.363636363636363</v>
      </c>
    </row>
    <row r="19" spans="1:20" x14ac:dyDescent="0.3">
      <c r="P19" t="s">
        <v>85</v>
      </c>
      <c r="Q19" s="6">
        <v>38475</v>
      </c>
      <c r="T19">
        <v>32</v>
      </c>
    </row>
    <row r="20" spans="1:20" x14ac:dyDescent="0.3">
      <c r="A20" t="s">
        <v>198</v>
      </c>
      <c r="B20" t="s">
        <v>85</v>
      </c>
      <c r="C20" t="s">
        <v>6</v>
      </c>
      <c r="D20" t="s">
        <v>34</v>
      </c>
      <c r="E20" t="s">
        <v>36</v>
      </c>
      <c r="F20" t="s">
        <v>86</v>
      </c>
      <c r="G20" t="s">
        <v>103</v>
      </c>
      <c r="H20" t="s">
        <v>8</v>
      </c>
      <c r="I20" t="s">
        <v>37</v>
      </c>
      <c r="J20" t="s">
        <v>151</v>
      </c>
      <c r="K20" t="s">
        <v>87</v>
      </c>
      <c r="L20" t="s">
        <v>199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19</v>
      </c>
      <c r="L21">
        <f t="shared" ca="1" si="6"/>
        <v>19</v>
      </c>
      <c r="N21" s="1">
        <f ca="1">AVERAGE(B21:M21)</f>
        <v>20.454545454545453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228</v>
      </c>
      <c r="B23" t="s">
        <v>85</v>
      </c>
      <c r="C23" t="s">
        <v>6</v>
      </c>
      <c r="D23" t="s">
        <v>34</v>
      </c>
      <c r="E23" t="s">
        <v>36</v>
      </c>
      <c r="F23" t="s">
        <v>86</v>
      </c>
      <c r="G23" t="s">
        <v>150</v>
      </c>
      <c r="H23" t="s">
        <v>8</v>
      </c>
      <c r="I23" t="s">
        <v>35</v>
      </c>
      <c r="J23" t="s">
        <v>151</v>
      </c>
      <c r="K23" t="s">
        <v>87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20.363636363636363</v>
      </c>
      <c r="P24" t="s">
        <v>86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229</v>
      </c>
      <c r="B26" t="s">
        <v>85</v>
      </c>
      <c r="C26" t="s">
        <v>6</v>
      </c>
      <c r="D26" t="s">
        <v>34</v>
      </c>
      <c r="E26" t="s">
        <v>36</v>
      </c>
      <c r="F26" t="s">
        <v>86</v>
      </c>
      <c r="G26" t="s">
        <v>150</v>
      </c>
      <c r="H26" t="s">
        <v>8</v>
      </c>
      <c r="I26" t="s">
        <v>35</v>
      </c>
      <c r="J26" t="s">
        <v>103</v>
      </c>
      <c r="K26" t="s">
        <v>87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20.545454545454547</v>
      </c>
      <c r="P27" t="s">
        <v>35</v>
      </c>
      <c r="Q27" s="6">
        <v>38475</v>
      </c>
    </row>
    <row r="28" spans="1:20" x14ac:dyDescent="0.3">
      <c r="P28" t="s">
        <v>87</v>
      </c>
      <c r="Q28" s="6">
        <v>38916</v>
      </c>
    </row>
    <row r="29" spans="1:20" x14ac:dyDescent="0.3">
      <c r="A29" t="s">
        <v>194</v>
      </c>
      <c r="B29" t="s">
        <v>85</v>
      </c>
      <c r="C29" t="s">
        <v>6</v>
      </c>
      <c r="D29" t="s">
        <v>34</v>
      </c>
      <c r="E29" t="s">
        <v>36</v>
      </c>
      <c r="F29" t="s">
        <v>86</v>
      </c>
      <c r="G29" t="s">
        <v>150</v>
      </c>
      <c r="H29" t="s">
        <v>8</v>
      </c>
      <c r="I29" t="s">
        <v>35</v>
      </c>
      <c r="J29" t="s">
        <v>103</v>
      </c>
      <c r="K29" t="s">
        <v>87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20.545454545454547</v>
      </c>
      <c r="P30" t="s">
        <v>104</v>
      </c>
      <c r="Q30" s="6">
        <v>38335</v>
      </c>
    </row>
    <row r="31" spans="1:20" x14ac:dyDescent="0.3">
      <c r="P31" t="s">
        <v>103</v>
      </c>
      <c r="Q31" s="6">
        <v>37927</v>
      </c>
    </row>
    <row r="32" spans="1:20" x14ac:dyDescent="0.3">
      <c r="A32" t="s">
        <v>84</v>
      </c>
      <c r="B32" t="s">
        <v>85</v>
      </c>
      <c r="C32" t="s">
        <v>6</v>
      </c>
      <c r="D32" t="s">
        <v>34</v>
      </c>
      <c r="E32" t="s">
        <v>36</v>
      </c>
      <c r="F32" t="s">
        <v>86</v>
      </c>
      <c r="G32" t="s">
        <v>150</v>
      </c>
      <c r="H32" t="s">
        <v>8</v>
      </c>
      <c r="I32" t="s">
        <v>35</v>
      </c>
      <c r="J32" t="s">
        <v>151</v>
      </c>
      <c r="K32" t="s">
        <v>87</v>
      </c>
      <c r="L32" t="s">
        <v>18</v>
      </c>
      <c r="P32" t="s">
        <v>150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20.363636363636363</v>
      </c>
      <c r="P33" t="s">
        <v>151</v>
      </c>
      <c r="Q33" s="6">
        <v>38513</v>
      </c>
    </row>
    <row r="34" spans="1:17" x14ac:dyDescent="0.3">
      <c r="P34" t="s">
        <v>152</v>
      </c>
      <c r="Q34" s="6">
        <v>38448</v>
      </c>
    </row>
    <row r="35" spans="1:17" x14ac:dyDescent="0.3">
      <c r="A35" t="s">
        <v>16</v>
      </c>
      <c r="B35" t="s">
        <v>85</v>
      </c>
      <c r="C35" t="s">
        <v>6</v>
      </c>
      <c r="D35" t="s">
        <v>199</v>
      </c>
      <c r="E35" t="s">
        <v>36</v>
      </c>
      <c r="F35" t="s">
        <v>86</v>
      </c>
      <c r="G35" t="s">
        <v>150</v>
      </c>
      <c r="H35" t="s">
        <v>8</v>
      </c>
      <c r="I35" t="s">
        <v>35</v>
      </c>
      <c r="J35" t="s">
        <v>244</v>
      </c>
      <c r="K35" t="s">
        <v>87</v>
      </c>
      <c r="L35" t="s">
        <v>37</v>
      </c>
      <c r="P35" t="s">
        <v>167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21</v>
      </c>
      <c r="D36">
        <f t="shared" ca="1" si="11"/>
        <v>19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20</v>
      </c>
      <c r="N36" s="1">
        <f ca="1">AVERAGE(B36:M36)</f>
        <v>20.363636363636363</v>
      </c>
      <c r="P36" t="s">
        <v>168</v>
      </c>
      <c r="Q36" s="6">
        <v>39597</v>
      </c>
    </row>
    <row r="37" spans="1:17" x14ac:dyDescent="0.3">
      <c r="P37" t="s">
        <v>199</v>
      </c>
      <c r="Q37" s="6">
        <v>39178</v>
      </c>
    </row>
    <row r="38" spans="1:17" x14ac:dyDescent="0.3">
      <c r="A38" t="s">
        <v>164</v>
      </c>
      <c r="B38" t="s">
        <v>251</v>
      </c>
      <c r="C38" t="s">
        <v>6</v>
      </c>
      <c r="D38" t="s">
        <v>34</v>
      </c>
      <c r="E38" t="s">
        <v>36</v>
      </c>
      <c r="F38" t="s">
        <v>86</v>
      </c>
      <c r="G38" t="s">
        <v>150</v>
      </c>
      <c r="H38" t="s">
        <v>8</v>
      </c>
      <c r="I38" t="s">
        <v>252</v>
      </c>
      <c r="J38" t="s">
        <v>18</v>
      </c>
      <c r="K38" t="s">
        <v>87</v>
      </c>
      <c r="L38" t="s">
        <v>37</v>
      </c>
      <c r="P38" t="s">
        <v>244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20</v>
      </c>
      <c r="N39" s="1">
        <f ca="1">AVERAGE(B39:M39)</f>
        <v>20.272727272727273</v>
      </c>
      <c r="P39" t="s">
        <v>251</v>
      </c>
      <c r="Q39" s="6">
        <v>39226</v>
      </c>
    </row>
    <row r="40" spans="1:17" x14ac:dyDescent="0.3">
      <c r="P40" t="s">
        <v>252</v>
      </c>
      <c r="Q40" s="6">
        <v>38395</v>
      </c>
    </row>
    <row r="41" spans="1:17" x14ac:dyDescent="0.3">
      <c r="A41" t="s">
        <v>15</v>
      </c>
      <c r="B41" t="s">
        <v>85</v>
      </c>
      <c r="C41" t="s">
        <v>253</v>
      </c>
      <c r="D41" t="s">
        <v>199</v>
      </c>
      <c r="E41" t="s">
        <v>36</v>
      </c>
      <c r="F41" t="s">
        <v>86</v>
      </c>
      <c r="G41" t="s">
        <v>150</v>
      </c>
      <c r="H41" t="s">
        <v>8</v>
      </c>
      <c r="I41" t="s">
        <v>252</v>
      </c>
      <c r="J41" t="s">
        <v>18</v>
      </c>
      <c r="K41" t="s">
        <v>87</v>
      </c>
      <c r="L41" t="s">
        <v>37</v>
      </c>
      <c r="P41" t="s">
        <v>253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19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20</v>
      </c>
      <c r="N42" s="1">
        <f ca="1">AVERAGE(B42:M42)</f>
        <v>20.272727272727273</v>
      </c>
      <c r="P42" t="s">
        <v>264</v>
      </c>
      <c r="Q42" s="6">
        <v>38062</v>
      </c>
    </row>
    <row r="43" spans="1:17" x14ac:dyDescent="0.3">
      <c r="P43" t="s">
        <v>284</v>
      </c>
      <c r="Q43" s="6">
        <v>39118</v>
      </c>
    </row>
    <row r="44" spans="1:17" x14ac:dyDescent="0.3">
      <c r="A44" t="s">
        <v>112</v>
      </c>
      <c r="B44" t="s">
        <v>85</v>
      </c>
      <c r="C44" t="s">
        <v>253</v>
      </c>
      <c r="D44" t="s">
        <v>199</v>
      </c>
      <c r="E44" t="s">
        <v>264</v>
      </c>
      <c r="F44" t="s">
        <v>86</v>
      </c>
      <c r="G44" t="s">
        <v>150</v>
      </c>
      <c r="H44" t="s">
        <v>8</v>
      </c>
      <c r="I44" t="s">
        <v>35</v>
      </c>
      <c r="J44" t="s">
        <v>6</v>
      </c>
      <c r="K44" t="s">
        <v>87</v>
      </c>
      <c r="L44" t="s">
        <v>37</v>
      </c>
      <c r="P44" t="s">
        <v>285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19</v>
      </c>
      <c r="E45">
        <f t="shared" ca="1" si="14"/>
        <v>22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20</v>
      </c>
      <c r="N45" s="1">
        <f ca="1">AVERAGE(B45:M45)</f>
        <v>20.454545454545453</v>
      </c>
      <c r="P45" t="s">
        <v>286</v>
      </c>
      <c r="Q45" s="6">
        <v>39689</v>
      </c>
    </row>
    <row r="46" spans="1:17" x14ac:dyDescent="0.3">
      <c r="P46" t="s">
        <v>300</v>
      </c>
      <c r="Q46" s="6">
        <v>39524</v>
      </c>
    </row>
    <row r="47" spans="1:17" x14ac:dyDescent="0.3">
      <c r="A47" t="s">
        <v>33</v>
      </c>
      <c r="B47" t="s">
        <v>85</v>
      </c>
      <c r="C47" t="s">
        <v>34</v>
      </c>
      <c r="D47" t="s">
        <v>199</v>
      </c>
      <c r="E47" t="s">
        <v>252</v>
      </c>
      <c r="F47" t="s">
        <v>86</v>
      </c>
      <c r="G47" t="s">
        <v>284</v>
      </c>
      <c r="H47" t="s">
        <v>103</v>
      </c>
      <c r="I47" t="s">
        <v>285</v>
      </c>
      <c r="J47" t="s">
        <v>6</v>
      </c>
      <c r="K47" t="s">
        <v>286</v>
      </c>
      <c r="L47" t="s">
        <v>18</v>
      </c>
      <c r="P47" t="s">
        <v>306</v>
      </c>
      <c r="Q47" s="6">
        <v>38884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19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20.09090909090909</v>
      </c>
      <c r="P48" t="s">
        <v>307</v>
      </c>
      <c r="Q48" s="6">
        <v>39283</v>
      </c>
    </row>
    <row r="49" spans="1:17" x14ac:dyDescent="0.3">
      <c r="P49" t="s">
        <v>309</v>
      </c>
      <c r="Q49" s="6">
        <v>36885</v>
      </c>
    </row>
    <row r="50" spans="1:17" x14ac:dyDescent="0.3">
      <c r="A50" t="s">
        <v>102</v>
      </c>
      <c r="B50" t="s">
        <v>251</v>
      </c>
      <c r="C50" t="s">
        <v>35</v>
      </c>
      <c r="D50" t="s">
        <v>199</v>
      </c>
      <c r="E50" t="s">
        <v>252</v>
      </c>
      <c r="F50" t="s">
        <v>253</v>
      </c>
      <c r="G50" t="s">
        <v>284</v>
      </c>
      <c r="H50" t="s">
        <v>103</v>
      </c>
      <c r="I50" t="s">
        <v>285</v>
      </c>
      <c r="J50" t="s">
        <v>6</v>
      </c>
      <c r="K50" t="s">
        <v>286</v>
      </c>
      <c r="L50" t="s">
        <v>18</v>
      </c>
      <c r="P50" t="s">
        <v>310</v>
      </c>
      <c r="Q50" s="6">
        <v>38323</v>
      </c>
    </row>
    <row r="51" spans="1:17" x14ac:dyDescent="0.3">
      <c r="B51">
        <f ca="1">DATEDIF(VLOOKUP(B50,$P$18:$Q$100,2,FALSE),TODAY(),"Y")</f>
        <v>18</v>
      </c>
      <c r="C51">
        <f t="shared" ref="C51:L51" ca="1" si="16">DATEDIF(VLOOKUP(C50,$P$18:$Q$100,2,FALSE),TODAY(),"Y")</f>
        <v>20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19</v>
      </c>
      <c r="H51">
        <f t="shared" ca="1" si="16"/>
        <v>22</v>
      </c>
      <c r="I51">
        <f t="shared" ca="1" si="16"/>
        <v>18</v>
      </c>
      <c r="J51">
        <f t="shared" ca="1" si="16"/>
        <v>21</v>
      </c>
      <c r="K51">
        <f t="shared" ca="1" si="16"/>
        <v>17</v>
      </c>
      <c r="L51">
        <f t="shared" ca="1" si="16"/>
        <v>20</v>
      </c>
      <c r="N51" s="1">
        <f ca="1">AVERAGE(B51:M51)</f>
        <v>19.545454545454547</v>
      </c>
      <c r="P51" t="s">
        <v>331</v>
      </c>
      <c r="Q51" s="6">
        <v>39845</v>
      </c>
    </row>
    <row r="53" spans="1:17" x14ac:dyDescent="0.3">
      <c r="A53" t="s">
        <v>149</v>
      </c>
      <c r="B53" t="s">
        <v>251</v>
      </c>
      <c r="C53" t="s">
        <v>34</v>
      </c>
      <c r="D53" t="s">
        <v>199</v>
      </c>
      <c r="E53" t="s">
        <v>252</v>
      </c>
      <c r="F53" t="s">
        <v>36</v>
      </c>
      <c r="G53" t="s">
        <v>284</v>
      </c>
      <c r="H53" t="s">
        <v>300</v>
      </c>
      <c r="I53" t="s">
        <v>285</v>
      </c>
      <c r="J53" t="s">
        <v>6</v>
      </c>
      <c r="K53" t="s">
        <v>286</v>
      </c>
      <c r="L53" t="s">
        <v>37</v>
      </c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20</v>
      </c>
      <c r="D54">
        <f t="shared" ca="1" si="17"/>
        <v>19</v>
      </c>
      <c r="E54">
        <f t="shared" ca="1" si="17"/>
        <v>21</v>
      </c>
      <c r="F54">
        <f t="shared" ca="1" si="17"/>
        <v>20</v>
      </c>
      <c r="G54">
        <f t="shared" ca="1" si="17"/>
        <v>19</v>
      </c>
      <c r="H54">
        <f t="shared" ca="1" si="17"/>
        <v>18</v>
      </c>
      <c r="I54">
        <f t="shared" ca="1" si="17"/>
        <v>18</v>
      </c>
      <c r="J54">
        <f t="shared" ca="1" si="17"/>
        <v>21</v>
      </c>
      <c r="K54">
        <f t="shared" ca="1" si="17"/>
        <v>17</v>
      </c>
      <c r="L54">
        <f t="shared" ca="1" si="17"/>
        <v>20</v>
      </c>
      <c r="N54" s="1">
        <f ca="1">AVERAGE(B54:M54)</f>
        <v>19.181818181818183</v>
      </c>
    </row>
    <row r="56" spans="1:17" x14ac:dyDescent="0.3">
      <c r="A56" t="s">
        <v>166</v>
      </c>
      <c r="B56" t="s">
        <v>251</v>
      </c>
      <c r="C56" t="s">
        <v>34</v>
      </c>
      <c r="D56" t="s">
        <v>199</v>
      </c>
      <c r="E56" t="s">
        <v>306</v>
      </c>
      <c r="F56" t="s">
        <v>36</v>
      </c>
      <c r="G56" t="s">
        <v>152</v>
      </c>
      <c r="H56" t="s">
        <v>300</v>
      </c>
      <c r="I56" t="s">
        <v>18</v>
      </c>
      <c r="J56" t="s">
        <v>6</v>
      </c>
      <c r="K56" t="s">
        <v>286</v>
      </c>
      <c r="L56" t="s">
        <v>307</v>
      </c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20</v>
      </c>
      <c r="D57">
        <f t="shared" ca="1" si="18"/>
        <v>19</v>
      </c>
      <c r="E57">
        <f t="shared" ca="1" si="18"/>
        <v>19</v>
      </c>
      <c r="F57">
        <f t="shared" ca="1" si="18"/>
        <v>20</v>
      </c>
      <c r="G57">
        <f t="shared" ca="1" si="18"/>
        <v>21</v>
      </c>
      <c r="H57">
        <f t="shared" ca="1" si="18"/>
        <v>18</v>
      </c>
      <c r="I57">
        <f t="shared" ca="1" si="18"/>
        <v>20</v>
      </c>
      <c r="J57">
        <f t="shared" ca="1" si="18"/>
        <v>21</v>
      </c>
      <c r="K57">
        <f t="shared" ca="1" si="18"/>
        <v>17</v>
      </c>
      <c r="L57">
        <f t="shared" ca="1" si="18"/>
        <v>18</v>
      </c>
      <c r="N57" s="1">
        <f ca="1">AVERAGE(B57:M57)</f>
        <v>19.181818181818183</v>
      </c>
    </row>
    <row r="59" spans="1:17" x14ac:dyDescent="0.3">
      <c r="A59" t="s">
        <v>174</v>
      </c>
      <c r="B59" t="s">
        <v>251</v>
      </c>
      <c r="C59" t="s">
        <v>34</v>
      </c>
      <c r="D59" t="s">
        <v>35</v>
      </c>
      <c r="E59" t="s">
        <v>306</v>
      </c>
      <c r="F59" t="s">
        <v>284</v>
      </c>
      <c r="G59" t="s">
        <v>152</v>
      </c>
      <c r="H59" t="s">
        <v>309</v>
      </c>
      <c r="I59" t="s">
        <v>18</v>
      </c>
      <c r="J59" t="s">
        <v>6</v>
      </c>
      <c r="K59" t="s">
        <v>310</v>
      </c>
      <c r="L59" t="s">
        <v>307</v>
      </c>
    </row>
    <row r="60" spans="1:17" x14ac:dyDescent="0.3">
      <c r="B60">
        <f ca="1">DATEDIF(VLOOKUP(B59,$P$18:$Q$100,2,FALSE),TODAY(),"Y")</f>
        <v>18</v>
      </c>
      <c r="C60">
        <f t="shared" ref="C60:L60" ca="1" si="19">DATEDIF(VLOOKUP(C59,$P$18:$Q$100,2,FALSE),TODAY(),"Y")</f>
        <v>20</v>
      </c>
      <c r="D60">
        <f t="shared" ca="1" si="19"/>
        <v>20</v>
      </c>
      <c r="E60">
        <f t="shared" ca="1" si="19"/>
        <v>19</v>
      </c>
      <c r="F60">
        <f t="shared" ca="1" si="19"/>
        <v>19</v>
      </c>
      <c r="G60">
        <f t="shared" ca="1" si="19"/>
        <v>21</v>
      </c>
      <c r="H60">
        <f t="shared" ca="1" si="19"/>
        <v>25</v>
      </c>
      <c r="I60">
        <f t="shared" ca="1" si="19"/>
        <v>20</v>
      </c>
      <c r="J60">
        <f t="shared" ca="1" si="19"/>
        <v>21</v>
      </c>
      <c r="K60">
        <f t="shared" ca="1" si="19"/>
        <v>21</v>
      </c>
      <c r="L60">
        <f t="shared" ca="1" si="19"/>
        <v>18</v>
      </c>
      <c r="N60" s="1">
        <f ca="1">AVERAGE(B60:M60)</f>
        <v>20.181818181818183</v>
      </c>
    </row>
    <row r="62" spans="1:17" x14ac:dyDescent="0.3">
      <c r="A62" t="s">
        <v>191</v>
      </c>
      <c r="B62" t="s">
        <v>85</v>
      </c>
      <c r="C62" t="s">
        <v>167</v>
      </c>
      <c r="D62" t="s">
        <v>252</v>
      </c>
      <c r="E62" t="s">
        <v>35</v>
      </c>
      <c r="F62" t="s">
        <v>86</v>
      </c>
      <c r="G62" t="s">
        <v>199</v>
      </c>
      <c r="H62" t="s">
        <v>103</v>
      </c>
      <c r="I62" t="s">
        <v>300</v>
      </c>
      <c r="J62" t="s">
        <v>152</v>
      </c>
      <c r="K62" t="s">
        <v>37</v>
      </c>
      <c r="L62" t="s">
        <v>307</v>
      </c>
    </row>
    <row r="63" spans="1:17" x14ac:dyDescent="0.3">
      <c r="B63">
        <f ca="1">DATEDIF(VLOOKUP(B62,$P$18:$Q$100,2,FALSE),TODAY(),"Y")</f>
        <v>20</v>
      </c>
      <c r="C63">
        <f t="shared" ref="C63:L63" ca="1" si="20">DATEDIF(VLOOKUP(C62,$P$18:$Q$100,2,FALSE),TODAY(),"Y")</f>
        <v>19</v>
      </c>
      <c r="D63">
        <f t="shared" ca="1" si="20"/>
        <v>21</v>
      </c>
      <c r="E63">
        <f t="shared" ca="1" si="20"/>
        <v>20</v>
      </c>
      <c r="F63">
        <f t="shared" ca="1" si="20"/>
        <v>24</v>
      </c>
      <c r="G63">
        <f t="shared" ca="1" si="20"/>
        <v>19</v>
      </c>
      <c r="H63">
        <f t="shared" ca="1" si="20"/>
        <v>22</v>
      </c>
      <c r="I63">
        <f t="shared" ca="1" si="20"/>
        <v>18</v>
      </c>
      <c r="J63">
        <f t="shared" ca="1" si="20"/>
        <v>21</v>
      </c>
      <c r="K63">
        <f t="shared" ca="1" si="20"/>
        <v>20</v>
      </c>
      <c r="L63">
        <f t="shared" ca="1" si="20"/>
        <v>18</v>
      </c>
      <c r="N63" s="1">
        <f ca="1">AVERAGE(B63:M63)</f>
        <v>20.181818181818183</v>
      </c>
    </row>
    <row r="65" spans="1:14" x14ac:dyDescent="0.3">
      <c r="A65" t="s">
        <v>198</v>
      </c>
      <c r="B65" t="s">
        <v>251</v>
      </c>
      <c r="C65" t="s">
        <v>167</v>
      </c>
      <c r="D65" t="s">
        <v>6</v>
      </c>
      <c r="E65" t="s">
        <v>35</v>
      </c>
      <c r="F65" t="s">
        <v>86</v>
      </c>
      <c r="G65" t="s">
        <v>199</v>
      </c>
      <c r="H65" t="s">
        <v>36</v>
      </c>
      <c r="I65" t="s">
        <v>300</v>
      </c>
      <c r="J65" t="s">
        <v>152</v>
      </c>
      <c r="K65" t="s">
        <v>286</v>
      </c>
      <c r="L65" t="s">
        <v>284</v>
      </c>
    </row>
    <row r="66" spans="1:14" x14ac:dyDescent="0.3">
      <c r="B66">
        <f ca="1">DATEDIF(VLOOKUP(B65,$P$18:$Q$100,2,FALSE),TODAY(),"Y")</f>
        <v>18</v>
      </c>
      <c r="C66">
        <f t="shared" ref="C66:L66" ca="1" si="21">DATEDIF(VLOOKUP(C65,$P$18:$Q$100,2,FALSE),TODAY(),"Y")</f>
        <v>19</v>
      </c>
      <c r="D66">
        <f t="shared" ca="1" si="21"/>
        <v>21</v>
      </c>
      <c r="E66">
        <f t="shared" ca="1" si="21"/>
        <v>20</v>
      </c>
      <c r="F66">
        <f t="shared" ca="1" si="21"/>
        <v>24</v>
      </c>
      <c r="G66">
        <f t="shared" ca="1" si="21"/>
        <v>19</v>
      </c>
      <c r="H66">
        <f t="shared" ca="1" si="21"/>
        <v>20</v>
      </c>
      <c r="I66">
        <f t="shared" ca="1" si="21"/>
        <v>18</v>
      </c>
      <c r="J66">
        <f t="shared" ca="1" si="21"/>
        <v>21</v>
      </c>
      <c r="K66">
        <f t="shared" ca="1" si="21"/>
        <v>17</v>
      </c>
      <c r="L66">
        <f t="shared" ca="1" si="21"/>
        <v>19</v>
      </c>
      <c r="N66" s="1">
        <f ca="1">AVERAGE(B66:M66)</f>
        <v>19.636363636363637</v>
      </c>
    </row>
    <row r="68" spans="1:14" x14ac:dyDescent="0.3">
      <c r="A68" t="s">
        <v>228</v>
      </c>
      <c r="B68" t="s">
        <v>85</v>
      </c>
      <c r="C68" t="s">
        <v>306</v>
      </c>
      <c r="D68" t="s">
        <v>6</v>
      </c>
      <c r="E68" t="s">
        <v>35</v>
      </c>
      <c r="F68" t="s">
        <v>86</v>
      </c>
      <c r="G68" t="s">
        <v>199</v>
      </c>
      <c r="H68" t="s">
        <v>36</v>
      </c>
      <c r="I68" t="s">
        <v>300</v>
      </c>
      <c r="J68" t="s">
        <v>331</v>
      </c>
      <c r="K68" t="s">
        <v>37</v>
      </c>
      <c r="L68" t="s">
        <v>307</v>
      </c>
    </row>
    <row r="69" spans="1:14" x14ac:dyDescent="0.3">
      <c r="B69">
        <f ca="1">DATEDIF(VLOOKUP(B68,$P$18:$Q$100,2,FALSE),TODAY(),"Y")</f>
        <v>20</v>
      </c>
      <c r="C69">
        <f t="shared" ref="C69:L69" ca="1" si="22">DATEDIF(VLOOKUP(C68,$P$18:$Q$100,2,FALSE),TODAY(),"Y")</f>
        <v>19</v>
      </c>
      <c r="D69">
        <f t="shared" ca="1" si="22"/>
        <v>21</v>
      </c>
      <c r="E69">
        <f t="shared" ca="1" si="22"/>
        <v>20</v>
      </c>
      <c r="F69">
        <f t="shared" ca="1" si="22"/>
        <v>24</v>
      </c>
      <c r="G69">
        <f t="shared" ca="1" si="22"/>
        <v>19</v>
      </c>
      <c r="H69">
        <f t="shared" ca="1" si="22"/>
        <v>20</v>
      </c>
      <c r="I69">
        <f t="shared" ca="1" si="22"/>
        <v>18</v>
      </c>
      <c r="J69">
        <f t="shared" ca="1" si="22"/>
        <v>17</v>
      </c>
      <c r="K69">
        <f t="shared" ca="1" si="22"/>
        <v>20</v>
      </c>
      <c r="L69">
        <f t="shared" ca="1" si="22"/>
        <v>18</v>
      </c>
      <c r="N69" s="1">
        <f ca="1">AVERAGE(B69:M69)</f>
        <v>19.636363636363637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66"/>
  <sheetViews>
    <sheetView topLeftCell="A34" workbookViewId="0">
      <selection activeCell="Q51" sqref="Q51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19.632231404958677</v>
      </c>
    </row>
    <row r="2" spans="1:14" x14ac:dyDescent="0.3">
      <c r="A2" t="s">
        <v>55</v>
      </c>
      <c r="B2" t="s">
        <v>19</v>
      </c>
      <c r="C2" t="s">
        <v>13</v>
      </c>
      <c r="D2" t="s">
        <v>88</v>
      </c>
      <c r="E2" t="s">
        <v>89</v>
      </c>
      <c r="F2" t="s">
        <v>20</v>
      </c>
      <c r="G2" t="s">
        <v>90</v>
      </c>
      <c r="H2" t="s">
        <v>39</v>
      </c>
      <c r="I2" t="s">
        <v>91</v>
      </c>
      <c r="J2" t="s">
        <v>21</v>
      </c>
      <c r="K2" t="s">
        <v>92</v>
      </c>
      <c r="L2" t="s">
        <v>30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17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19.09090909090909</v>
      </c>
    </row>
    <row r="5" spans="1:14" x14ac:dyDescent="0.3">
      <c r="A5" t="s">
        <v>119</v>
      </c>
      <c r="B5" t="s">
        <v>19</v>
      </c>
      <c r="C5" t="s">
        <v>13</v>
      </c>
      <c r="D5" t="s">
        <v>120</v>
      </c>
      <c r="E5" t="s">
        <v>89</v>
      </c>
      <c r="F5" t="s">
        <v>20</v>
      </c>
      <c r="G5" t="s">
        <v>90</v>
      </c>
      <c r="H5" t="s">
        <v>121</v>
      </c>
      <c r="I5" t="s">
        <v>91</v>
      </c>
      <c r="J5" t="s">
        <v>21</v>
      </c>
      <c r="K5" t="s">
        <v>122</v>
      </c>
      <c r="L5" t="s">
        <v>30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17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19.727272727272727</v>
      </c>
    </row>
    <row r="8" spans="1:14" x14ac:dyDescent="0.3">
      <c r="A8" t="s">
        <v>155</v>
      </c>
      <c r="B8" t="s">
        <v>19</v>
      </c>
      <c r="C8" t="s">
        <v>13</v>
      </c>
      <c r="D8" t="s">
        <v>88</v>
      </c>
      <c r="E8" t="s">
        <v>89</v>
      </c>
      <c r="F8" t="s">
        <v>20</v>
      </c>
      <c r="G8" t="s">
        <v>90</v>
      </c>
      <c r="H8" t="s">
        <v>156</v>
      </c>
      <c r="I8" t="s">
        <v>91</v>
      </c>
      <c r="J8" t="s">
        <v>157</v>
      </c>
      <c r="K8" t="s">
        <v>39</v>
      </c>
      <c r="L8" t="s">
        <v>158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17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20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19.272727272727273</v>
      </c>
    </row>
    <row r="11" spans="1:14" x14ac:dyDescent="0.3">
      <c r="A11" t="s">
        <v>171</v>
      </c>
      <c r="B11" t="s">
        <v>19</v>
      </c>
      <c r="C11" t="s">
        <v>13</v>
      </c>
      <c r="D11" t="s">
        <v>30</v>
      </c>
      <c r="E11" t="s">
        <v>89</v>
      </c>
      <c r="F11" t="s">
        <v>20</v>
      </c>
      <c r="G11" t="s">
        <v>90</v>
      </c>
      <c r="H11" t="s">
        <v>156</v>
      </c>
      <c r="I11" t="s">
        <v>91</v>
      </c>
      <c r="J11" t="s">
        <v>157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17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20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19.636363636363637</v>
      </c>
    </row>
    <row r="14" spans="1:14" x14ac:dyDescent="0.3">
      <c r="A14" t="s">
        <v>186</v>
      </c>
      <c r="B14" t="s">
        <v>187</v>
      </c>
      <c r="C14" t="s">
        <v>13</v>
      </c>
      <c r="D14" t="s">
        <v>30</v>
      </c>
      <c r="E14" t="s">
        <v>89</v>
      </c>
      <c r="F14" t="s">
        <v>20</v>
      </c>
      <c r="G14" t="s">
        <v>88</v>
      </c>
      <c r="H14" t="s">
        <v>156</v>
      </c>
      <c r="I14" t="s">
        <v>188</v>
      </c>
      <c r="J14" t="s">
        <v>157</v>
      </c>
      <c r="K14" t="s">
        <v>39</v>
      </c>
      <c r="L14" t="s">
        <v>158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17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20</v>
      </c>
      <c r="I15">
        <f t="shared" ca="1" si="4"/>
        <v>18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19.727272727272727</v>
      </c>
    </row>
    <row r="17" spans="1:20" x14ac:dyDescent="0.3">
      <c r="A17" t="s">
        <v>207</v>
      </c>
      <c r="B17" t="s">
        <v>187</v>
      </c>
      <c r="C17" t="s">
        <v>208</v>
      </c>
      <c r="D17" t="s">
        <v>30</v>
      </c>
      <c r="E17" t="s">
        <v>89</v>
      </c>
      <c r="F17" t="s">
        <v>20</v>
      </c>
      <c r="G17" t="s">
        <v>88</v>
      </c>
      <c r="H17" t="s">
        <v>209</v>
      </c>
      <c r="I17" t="s">
        <v>91</v>
      </c>
      <c r="J17" t="s">
        <v>157</v>
      </c>
      <c r="K17" t="s">
        <v>39</v>
      </c>
      <c r="L17" t="s">
        <v>90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32</v>
      </c>
    </row>
    <row r="19" spans="1:20" x14ac:dyDescent="0.3">
      <c r="P19" t="s">
        <v>88</v>
      </c>
      <c r="Q19" s="6">
        <v>39135</v>
      </c>
    </row>
    <row r="20" spans="1:20" x14ac:dyDescent="0.3">
      <c r="A20" t="s">
        <v>210</v>
      </c>
      <c r="B20" t="s">
        <v>187</v>
      </c>
      <c r="C20" t="s">
        <v>13</v>
      </c>
      <c r="D20" t="s">
        <v>120</v>
      </c>
      <c r="E20" t="s">
        <v>89</v>
      </c>
      <c r="F20" t="s">
        <v>20</v>
      </c>
      <c r="G20" t="s">
        <v>21</v>
      </c>
      <c r="H20" t="s">
        <v>211</v>
      </c>
      <c r="I20" t="s">
        <v>91</v>
      </c>
      <c r="J20" t="s">
        <v>157</v>
      </c>
      <c r="K20" t="s">
        <v>39</v>
      </c>
      <c r="L20" t="s">
        <v>121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17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20.363636363636363</v>
      </c>
      <c r="P21" t="s">
        <v>89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221</v>
      </c>
      <c r="B23" t="s">
        <v>187</v>
      </c>
      <c r="C23" t="s">
        <v>13</v>
      </c>
      <c r="D23" t="s">
        <v>208</v>
      </c>
      <c r="E23" t="s">
        <v>89</v>
      </c>
      <c r="F23" t="s">
        <v>20</v>
      </c>
      <c r="G23" t="s">
        <v>21</v>
      </c>
      <c r="H23" t="s">
        <v>211</v>
      </c>
      <c r="I23" t="s">
        <v>91</v>
      </c>
      <c r="J23" t="s">
        <v>88</v>
      </c>
      <c r="K23" t="s">
        <v>39</v>
      </c>
      <c r="L23" t="s">
        <v>158</v>
      </c>
      <c r="P23" t="s">
        <v>91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17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19.454545454545453</v>
      </c>
      <c r="P24" t="s">
        <v>90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226</v>
      </c>
      <c r="B26" t="s">
        <v>187</v>
      </c>
      <c r="C26" t="s">
        <v>13</v>
      </c>
      <c r="D26" t="s">
        <v>157</v>
      </c>
      <c r="E26" t="s">
        <v>89</v>
      </c>
      <c r="F26" t="s">
        <v>20</v>
      </c>
      <c r="G26" t="s">
        <v>188</v>
      </c>
      <c r="H26" t="s">
        <v>30</v>
      </c>
      <c r="I26" t="s">
        <v>91</v>
      </c>
      <c r="J26" t="s">
        <v>88</v>
      </c>
      <c r="K26" t="s">
        <v>39</v>
      </c>
      <c r="L26" t="s">
        <v>158</v>
      </c>
      <c r="P26" t="s">
        <v>92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17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18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19.454545454545453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233</v>
      </c>
      <c r="B29" t="s">
        <v>234</v>
      </c>
      <c r="C29" t="s">
        <v>235</v>
      </c>
      <c r="D29" t="s">
        <v>208</v>
      </c>
      <c r="E29" t="s">
        <v>88</v>
      </c>
      <c r="F29" t="s">
        <v>20</v>
      </c>
      <c r="G29" t="s">
        <v>89</v>
      </c>
      <c r="H29" t="s">
        <v>236</v>
      </c>
      <c r="I29" t="s">
        <v>157</v>
      </c>
      <c r="J29" t="s">
        <v>91</v>
      </c>
      <c r="K29" t="s">
        <v>237</v>
      </c>
      <c r="L29" t="s">
        <v>92</v>
      </c>
      <c r="P29" t="s">
        <v>122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18.636363636363637</v>
      </c>
      <c r="P30" t="s">
        <v>120</v>
      </c>
      <c r="Q30" s="6">
        <v>38392</v>
      </c>
    </row>
    <row r="31" spans="1:20" x14ac:dyDescent="0.3">
      <c r="P31" t="s">
        <v>121</v>
      </c>
      <c r="Q31" s="6">
        <v>37447</v>
      </c>
    </row>
    <row r="32" spans="1:20" x14ac:dyDescent="0.3">
      <c r="A32" t="s">
        <v>240</v>
      </c>
      <c r="B32" t="s">
        <v>187</v>
      </c>
      <c r="C32" t="s">
        <v>235</v>
      </c>
      <c r="D32" t="s">
        <v>209</v>
      </c>
      <c r="E32" t="s">
        <v>88</v>
      </c>
      <c r="F32" t="s">
        <v>20</v>
      </c>
      <c r="G32" t="s">
        <v>89</v>
      </c>
      <c r="H32" t="s">
        <v>211</v>
      </c>
      <c r="I32" t="s">
        <v>157</v>
      </c>
      <c r="J32" t="s">
        <v>91</v>
      </c>
      <c r="K32" t="s">
        <v>30</v>
      </c>
      <c r="L32" t="s">
        <v>121</v>
      </c>
      <c r="P32" t="s">
        <v>156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20.272727272727273</v>
      </c>
      <c r="P33" t="s">
        <v>157</v>
      </c>
      <c r="Q33" s="6">
        <v>38012</v>
      </c>
    </row>
    <row r="34" spans="1:17" x14ac:dyDescent="0.3">
      <c r="P34" t="s">
        <v>158</v>
      </c>
      <c r="Q34" s="6">
        <v>39085</v>
      </c>
    </row>
    <row r="35" spans="1:17" x14ac:dyDescent="0.3">
      <c r="A35" t="s">
        <v>242</v>
      </c>
      <c r="B35" t="s">
        <v>187</v>
      </c>
      <c r="C35" t="s">
        <v>235</v>
      </c>
      <c r="D35" t="s">
        <v>90</v>
      </c>
      <c r="E35" t="s">
        <v>21</v>
      </c>
      <c r="F35" t="s">
        <v>20</v>
      </c>
      <c r="G35" t="s">
        <v>89</v>
      </c>
      <c r="H35" t="s">
        <v>211</v>
      </c>
      <c r="I35" t="s">
        <v>13</v>
      </c>
      <c r="J35" t="s">
        <v>91</v>
      </c>
      <c r="K35" t="s">
        <v>30</v>
      </c>
      <c r="L35" t="s">
        <v>121</v>
      </c>
      <c r="P35" t="s">
        <v>187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17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19.90909090909091</v>
      </c>
      <c r="P36" t="s">
        <v>188</v>
      </c>
      <c r="Q36" s="6">
        <v>39538</v>
      </c>
    </row>
    <row r="37" spans="1:17" x14ac:dyDescent="0.3">
      <c r="P37" t="s">
        <v>208</v>
      </c>
      <c r="Q37" s="6">
        <v>39427</v>
      </c>
    </row>
    <row r="38" spans="1:17" x14ac:dyDescent="0.3">
      <c r="A38" t="s">
        <v>249</v>
      </c>
      <c r="B38" t="s">
        <v>187</v>
      </c>
      <c r="C38" t="s">
        <v>88</v>
      </c>
      <c r="D38" t="s">
        <v>90</v>
      </c>
      <c r="E38" t="s">
        <v>21</v>
      </c>
      <c r="F38" t="s">
        <v>20</v>
      </c>
      <c r="G38" t="s">
        <v>89</v>
      </c>
      <c r="H38" t="s">
        <v>211</v>
      </c>
      <c r="I38" t="s">
        <v>13</v>
      </c>
      <c r="J38" t="s">
        <v>188</v>
      </c>
      <c r="K38" t="s">
        <v>30</v>
      </c>
      <c r="L38" t="s">
        <v>158</v>
      </c>
      <c r="P38" t="s">
        <v>209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17</v>
      </c>
      <c r="J39">
        <f t="shared" ca="1" si="12"/>
        <v>18</v>
      </c>
      <c r="K39">
        <f t="shared" ca="1" si="12"/>
        <v>22</v>
      </c>
      <c r="L39">
        <f t="shared" ca="1" si="12"/>
        <v>19</v>
      </c>
      <c r="N39" s="1">
        <f ca="1">AVERAGE(B39:M39)</f>
        <v>19.545454545454547</v>
      </c>
      <c r="P39" t="s">
        <v>211</v>
      </c>
      <c r="Q39" s="6">
        <v>37302</v>
      </c>
    </row>
    <row r="40" spans="1:17" x14ac:dyDescent="0.3">
      <c r="P40" t="s">
        <v>234</v>
      </c>
      <c r="Q40" s="6">
        <v>38913</v>
      </c>
    </row>
    <row r="41" spans="1:17" x14ac:dyDescent="0.3">
      <c r="A41" t="s">
        <v>256</v>
      </c>
      <c r="B41" t="s">
        <v>187</v>
      </c>
      <c r="C41" t="s">
        <v>208</v>
      </c>
      <c r="D41" t="s">
        <v>90</v>
      </c>
      <c r="E41" t="s">
        <v>257</v>
      </c>
      <c r="F41" t="s">
        <v>20</v>
      </c>
      <c r="G41" t="s">
        <v>89</v>
      </c>
      <c r="H41" t="s">
        <v>91</v>
      </c>
      <c r="I41" t="s">
        <v>13</v>
      </c>
      <c r="J41" t="s">
        <v>188</v>
      </c>
      <c r="K41" t="s">
        <v>30</v>
      </c>
      <c r="L41" t="s">
        <v>158</v>
      </c>
      <c r="P41" t="s">
        <v>235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17</v>
      </c>
      <c r="J42">
        <f t="shared" ca="1" si="13"/>
        <v>18</v>
      </c>
      <c r="K42">
        <f t="shared" ca="1" si="13"/>
        <v>22</v>
      </c>
      <c r="L42">
        <f t="shared" ca="1" si="13"/>
        <v>19</v>
      </c>
      <c r="N42" s="1">
        <f ca="1">AVERAGE(B42:M42)</f>
        <v>19</v>
      </c>
      <c r="P42" t="s">
        <v>236</v>
      </c>
      <c r="Q42" s="6">
        <v>39771</v>
      </c>
    </row>
    <row r="43" spans="1:17" x14ac:dyDescent="0.3">
      <c r="P43" t="s">
        <v>237</v>
      </c>
      <c r="Q43" s="6">
        <v>39339</v>
      </c>
    </row>
    <row r="44" spans="1:17" x14ac:dyDescent="0.3">
      <c r="A44" t="s">
        <v>262</v>
      </c>
      <c r="B44" t="s">
        <v>187</v>
      </c>
      <c r="C44" t="s">
        <v>88</v>
      </c>
      <c r="D44" t="s">
        <v>39</v>
      </c>
      <c r="E44" t="s">
        <v>257</v>
      </c>
      <c r="F44" t="s">
        <v>20</v>
      </c>
      <c r="G44" t="s">
        <v>89</v>
      </c>
      <c r="H44" t="s">
        <v>211</v>
      </c>
      <c r="I44" t="s">
        <v>13</v>
      </c>
      <c r="J44" t="s">
        <v>21</v>
      </c>
      <c r="K44" t="s">
        <v>30</v>
      </c>
      <c r="L44" t="s">
        <v>158</v>
      </c>
      <c r="P44" t="s">
        <v>257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17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20.272727272727273</v>
      </c>
      <c r="P45" t="s">
        <v>304</v>
      </c>
      <c r="Q45" s="6">
        <v>38724</v>
      </c>
    </row>
    <row r="46" spans="1:17" x14ac:dyDescent="0.3">
      <c r="P46" t="s">
        <v>303</v>
      </c>
      <c r="Q46" s="6">
        <v>37752</v>
      </c>
    </row>
    <row r="47" spans="1:17" x14ac:dyDescent="0.3">
      <c r="A47" t="s">
        <v>267</v>
      </c>
      <c r="B47" t="s">
        <v>187</v>
      </c>
      <c r="C47" t="s">
        <v>90</v>
      </c>
      <c r="D47" t="s">
        <v>39</v>
      </c>
      <c r="E47" t="s">
        <v>257</v>
      </c>
      <c r="F47" t="s">
        <v>20</v>
      </c>
      <c r="G47" t="s">
        <v>89</v>
      </c>
      <c r="H47" t="s">
        <v>211</v>
      </c>
      <c r="I47" t="s">
        <v>13</v>
      </c>
      <c r="J47" t="s">
        <v>21</v>
      </c>
      <c r="K47" t="s">
        <v>30</v>
      </c>
      <c r="L47" t="s">
        <v>158</v>
      </c>
      <c r="P47" t="s">
        <v>320</v>
      </c>
      <c r="Q47" s="6">
        <v>38991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17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20.181818181818183</v>
      </c>
      <c r="P48" t="s">
        <v>323</v>
      </c>
      <c r="Q48" s="6">
        <v>36592</v>
      </c>
    </row>
    <row r="49" spans="1:17" x14ac:dyDescent="0.3">
      <c r="P49" t="s">
        <v>324</v>
      </c>
      <c r="Q49" s="6">
        <v>39692</v>
      </c>
    </row>
    <row r="50" spans="1:17" x14ac:dyDescent="0.3">
      <c r="A50" t="s">
        <v>55</v>
      </c>
      <c r="B50" t="s">
        <v>303</v>
      </c>
      <c r="C50" t="s">
        <v>208</v>
      </c>
      <c r="D50" t="s">
        <v>13</v>
      </c>
      <c r="E50" t="s">
        <v>20</v>
      </c>
      <c r="F50" t="s">
        <v>157</v>
      </c>
      <c r="G50" t="s">
        <v>211</v>
      </c>
      <c r="H50" t="s">
        <v>91</v>
      </c>
      <c r="I50" t="s">
        <v>304</v>
      </c>
      <c r="J50" t="s">
        <v>236</v>
      </c>
      <c r="K50" t="s">
        <v>30</v>
      </c>
      <c r="L50" t="s">
        <v>158</v>
      </c>
      <c r="P50" t="s">
        <v>332</v>
      </c>
      <c r="Q50" s="6">
        <v>39829</v>
      </c>
    </row>
    <row r="51" spans="1:17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18</v>
      </c>
      <c r="D51">
        <f t="shared" ca="1" si="16"/>
        <v>17</v>
      </c>
      <c r="E51">
        <f t="shared" ca="1" si="16"/>
        <v>19</v>
      </c>
      <c r="F51">
        <f t="shared" ca="1" si="16"/>
        <v>22</v>
      </c>
      <c r="G51">
        <f t="shared" ca="1" si="16"/>
        <v>24</v>
      </c>
      <c r="H51">
        <f t="shared" ca="1" si="16"/>
        <v>17</v>
      </c>
      <c r="I51">
        <f t="shared" ca="1" si="16"/>
        <v>20</v>
      </c>
      <c r="J51">
        <f t="shared" ca="1" si="16"/>
        <v>17</v>
      </c>
      <c r="K51">
        <f t="shared" ca="1" si="16"/>
        <v>22</v>
      </c>
      <c r="L51">
        <f t="shared" ca="1" si="16"/>
        <v>19</v>
      </c>
      <c r="N51" s="1">
        <f ca="1">AVERAGE(B51:M51)</f>
        <v>19.727272727272727</v>
      </c>
    </row>
    <row r="53" spans="1:17" x14ac:dyDescent="0.3">
      <c r="A53" t="s">
        <v>119</v>
      </c>
      <c r="B53" t="s">
        <v>187</v>
      </c>
      <c r="C53" t="s">
        <v>208</v>
      </c>
      <c r="D53" t="s">
        <v>88</v>
      </c>
      <c r="E53" t="s">
        <v>20</v>
      </c>
      <c r="F53" t="s">
        <v>89</v>
      </c>
      <c r="G53" t="s">
        <v>157</v>
      </c>
      <c r="H53" t="s">
        <v>211</v>
      </c>
      <c r="I53" t="s">
        <v>304</v>
      </c>
      <c r="J53" t="s">
        <v>21</v>
      </c>
      <c r="K53" t="s">
        <v>30</v>
      </c>
      <c r="L53" t="s">
        <v>158</v>
      </c>
    </row>
    <row r="54" spans="1:17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19</v>
      </c>
      <c r="G54">
        <f t="shared" ca="1" si="17"/>
        <v>22</v>
      </c>
      <c r="H54">
        <f t="shared" ca="1" si="17"/>
        <v>24</v>
      </c>
      <c r="I54">
        <f t="shared" ca="1" si="17"/>
        <v>20</v>
      </c>
      <c r="J54">
        <f t="shared" ca="1" si="17"/>
        <v>20</v>
      </c>
      <c r="K54">
        <f t="shared" ca="1" si="17"/>
        <v>22</v>
      </c>
      <c r="L54">
        <f t="shared" ca="1" si="17"/>
        <v>19</v>
      </c>
      <c r="N54" s="1">
        <f ca="1">AVERAGE(B54:M54)</f>
        <v>20.181818181818183</v>
      </c>
    </row>
    <row r="56" spans="1:17" x14ac:dyDescent="0.3">
      <c r="A56" t="s">
        <v>186</v>
      </c>
      <c r="B56" t="s">
        <v>303</v>
      </c>
      <c r="C56" t="s">
        <v>209</v>
      </c>
      <c r="D56" t="s">
        <v>88</v>
      </c>
      <c r="E56" t="s">
        <v>20</v>
      </c>
      <c r="F56" t="s">
        <v>89</v>
      </c>
      <c r="G56" t="s">
        <v>157</v>
      </c>
      <c r="H56" t="s">
        <v>91</v>
      </c>
      <c r="I56" t="s">
        <v>304</v>
      </c>
      <c r="J56" t="s">
        <v>21</v>
      </c>
      <c r="K56" t="s">
        <v>30</v>
      </c>
      <c r="L56" t="s">
        <v>158</v>
      </c>
    </row>
    <row r="57" spans="1:17" x14ac:dyDescent="0.3">
      <c r="B57">
        <f ca="1">DATEDIF(VLOOKUP(B56,$P$18:$Q$100,2,FALSE),TODAY(),"Y")</f>
        <v>22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19</v>
      </c>
      <c r="F57">
        <f t="shared" ca="1" si="18"/>
        <v>19</v>
      </c>
      <c r="G57">
        <f t="shared" ca="1" si="18"/>
        <v>22</v>
      </c>
      <c r="H57">
        <f t="shared" ca="1" si="18"/>
        <v>17</v>
      </c>
      <c r="I57">
        <f t="shared" ca="1" si="18"/>
        <v>20</v>
      </c>
      <c r="J57">
        <f t="shared" ca="1" si="18"/>
        <v>20</v>
      </c>
      <c r="K57">
        <f t="shared" ca="1" si="18"/>
        <v>22</v>
      </c>
      <c r="L57">
        <f t="shared" ca="1" si="18"/>
        <v>19</v>
      </c>
      <c r="N57" s="1">
        <f ca="1">AVERAGE(B57:M57)</f>
        <v>19.727272727272727</v>
      </c>
    </row>
    <row r="59" spans="1:17" x14ac:dyDescent="0.3">
      <c r="A59" t="s">
        <v>207</v>
      </c>
      <c r="B59" t="s">
        <v>303</v>
      </c>
      <c r="C59" t="s">
        <v>320</v>
      </c>
      <c r="D59" t="s">
        <v>88</v>
      </c>
      <c r="E59" t="s">
        <v>208</v>
      </c>
      <c r="F59" t="s">
        <v>89</v>
      </c>
      <c r="G59" t="s">
        <v>157</v>
      </c>
      <c r="H59" t="s">
        <v>91</v>
      </c>
      <c r="I59" t="s">
        <v>304</v>
      </c>
      <c r="J59" t="s">
        <v>21</v>
      </c>
      <c r="K59" t="s">
        <v>30</v>
      </c>
      <c r="L59" t="s">
        <v>158</v>
      </c>
    </row>
    <row r="60" spans="1:17" x14ac:dyDescent="0.3">
      <c r="B60">
        <f ca="1">DATEDIF(VLOOKUP(B59,$P$18:$Q$100,2,FALSE),TODAY(),"Y")</f>
        <v>22</v>
      </c>
      <c r="C60">
        <f t="shared" ref="C60:L60" ca="1" si="19">DATEDIF(VLOOKUP(C59,$P$18:$Q$100,2,FALSE),TODAY(),"Y")</f>
        <v>19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22</v>
      </c>
      <c r="H60">
        <f t="shared" ca="1" si="19"/>
        <v>17</v>
      </c>
      <c r="I60">
        <f t="shared" ca="1" si="19"/>
        <v>20</v>
      </c>
      <c r="J60">
        <f t="shared" ca="1" si="19"/>
        <v>20</v>
      </c>
      <c r="K60">
        <f t="shared" ca="1" si="19"/>
        <v>22</v>
      </c>
      <c r="L60">
        <f t="shared" ca="1" si="19"/>
        <v>19</v>
      </c>
      <c r="N60" s="1">
        <f ca="1">AVERAGE(B60:M60)</f>
        <v>19.727272727272727</v>
      </c>
    </row>
    <row r="62" spans="1:17" x14ac:dyDescent="0.3">
      <c r="A62" t="s">
        <v>210</v>
      </c>
      <c r="B62" t="s">
        <v>323</v>
      </c>
      <c r="C62" t="s">
        <v>20</v>
      </c>
      <c r="D62" t="s">
        <v>89</v>
      </c>
      <c r="E62" t="s">
        <v>157</v>
      </c>
      <c r="F62" t="s">
        <v>21</v>
      </c>
      <c r="G62" t="s">
        <v>91</v>
      </c>
      <c r="H62" t="s">
        <v>90</v>
      </c>
      <c r="I62" t="s">
        <v>304</v>
      </c>
      <c r="J62" t="s">
        <v>158</v>
      </c>
      <c r="K62" t="s">
        <v>324</v>
      </c>
      <c r="L62" t="s">
        <v>320</v>
      </c>
    </row>
    <row r="63" spans="1:17" x14ac:dyDescent="0.3">
      <c r="B63">
        <f ca="1">DATEDIF(VLOOKUP(B62,$P$18:$Q$100,2,FALSE),TODAY(),"Y")</f>
        <v>26</v>
      </c>
      <c r="C63">
        <f t="shared" ref="C63:L63" ca="1" si="20">DATEDIF(VLOOKUP(C62,$P$18:$Q$100,2,FALSE),TODAY(),"Y")</f>
        <v>19</v>
      </c>
      <c r="D63">
        <f t="shared" ca="1" si="20"/>
        <v>19</v>
      </c>
      <c r="E63">
        <f t="shared" ca="1" si="20"/>
        <v>22</v>
      </c>
      <c r="F63">
        <f t="shared" ca="1" si="20"/>
        <v>20</v>
      </c>
      <c r="G63">
        <f t="shared" ca="1" si="20"/>
        <v>17</v>
      </c>
      <c r="H63">
        <f t="shared" ca="1" si="20"/>
        <v>18</v>
      </c>
      <c r="I63">
        <f t="shared" ca="1" si="20"/>
        <v>20</v>
      </c>
      <c r="J63">
        <f t="shared" ca="1" si="20"/>
        <v>19</v>
      </c>
      <c r="K63">
        <f t="shared" ca="1" si="20"/>
        <v>17</v>
      </c>
      <c r="L63">
        <f t="shared" ca="1" si="20"/>
        <v>19</v>
      </c>
      <c r="N63" s="1">
        <f ca="1">AVERAGE(B63:M63)</f>
        <v>19.636363636363637</v>
      </c>
    </row>
    <row r="65" spans="1:14" x14ac:dyDescent="0.3">
      <c r="A65" t="s">
        <v>221</v>
      </c>
      <c r="B65" t="s">
        <v>187</v>
      </c>
      <c r="C65" t="s">
        <v>20</v>
      </c>
      <c r="D65" t="s">
        <v>89</v>
      </c>
      <c r="E65" t="s">
        <v>157</v>
      </c>
      <c r="F65" t="s">
        <v>21</v>
      </c>
      <c r="G65" t="s">
        <v>91</v>
      </c>
      <c r="H65" t="s">
        <v>90</v>
      </c>
      <c r="I65" t="s">
        <v>257</v>
      </c>
      <c r="J65" t="s">
        <v>236</v>
      </c>
      <c r="K65" t="s">
        <v>324</v>
      </c>
      <c r="L65" t="s">
        <v>332</v>
      </c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19</v>
      </c>
      <c r="E66">
        <f t="shared" ca="1" si="21"/>
        <v>22</v>
      </c>
      <c r="F66">
        <f t="shared" ca="1" si="21"/>
        <v>20</v>
      </c>
      <c r="G66">
        <f t="shared" ca="1" si="21"/>
        <v>17</v>
      </c>
      <c r="H66">
        <f t="shared" ca="1" si="21"/>
        <v>18</v>
      </c>
      <c r="I66">
        <f t="shared" ca="1" si="21"/>
        <v>22</v>
      </c>
      <c r="J66">
        <f t="shared" ca="1" si="21"/>
        <v>17</v>
      </c>
      <c r="K66">
        <f t="shared" ca="1" si="21"/>
        <v>17</v>
      </c>
      <c r="L66">
        <f t="shared" ca="1" si="21"/>
        <v>17</v>
      </c>
      <c r="N66" s="1">
        <f ca="1">AVERAGE(B66:M66)</f>
        <v>18.90909090909091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75"/>
  <sheetViews>
    <sheetView topLeftCell="A23" workbookViewId="0">
      <selection activeCell="G44" sqref="G44"/>
    </sheetView>
  </sheetViews>
  <sheetFormatPr baseColWidth="10" defaultRowHeight="14.4" x14ac:dyDescent="0.3"/>
  <cols>
    <col min="5" max="5" width="11.77734375" bestFit="1" customWidth="1"/>
  </cols>
  <sheetData>
    <row r="1" spans="1:14" x14ac:dyDescent="0.3">
      <c r="N1" s="1">
        <f ca="1">AVERAGE(N2:N99)</f>
        <v>21.014545454545456</v>
      </c>
    </row>
    <row r="2" spans="1:14" x14ac:dyDescent="0.3">
      <c r="A2" t="s">
        <v>60</v>
      </c>
      <c r="B2" t="s">
        <v>93</v>
      </c>
      <c r="C2" t="s">
        <v>26</v>
      </c>
      <c r="D2" t="s">
        <v>38</v>
      </c>
      <c r="E2" t="s">
        <v>94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t="shared" ref="B3:L3" ca="1" si="0">DATEDIF(VLOOKUP(B2,$P$18:$Q$100,2,FALSE),TODAY(),"Y")</f>
        <v>20</v>
      </c>
      <c r="C3">
        <f t="shared" ca="1" si="0"/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109</v>
      </c>
      <c r="B5" t="s">
        <v>93</v>
      </c>
      <c r="C5" t="s">
        <v>26</v>
      </c>
      <c r="D5" t="s">
        <v>110</v>
      </c>
      <c r="E5" t="s">
        <v>94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t="shared" ref="B6:L6" ca="1" si="1">DATEDIF(VLOOKUP(B5,$P$18:$Q$100,2,FALSE),TODAY(),"Y")</f>
        <v>20</v>
      </c>
      <c r="C6">
        <f t="shared" ca="1" si="1"/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153</v>
      </c>
      <c r="B8" t="s">
        <v>93</v>
      </c>
      <c r="C8" t="s">
        <v>26</v>
      </c>
      <c r="D8" t="s">
        <v>110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154</v>
      </c>
      <c r="L8" t="s">
        <v>25</v>
      </c>
      <c r="N8" s="1"/>
    </row>
    <row r="9" spans="1:14" x14ac:dyDescent="0.3">
      <c r="B9">
        <f t="shared" ref="B9:L9" ca="1" si="2">DATEDIF(VLOOKUP(B8,$P$18:$Q$100,2,FALSE),TODAY(),"Y")</f>
        <v>20</v>
      </c>
      <c r="C9">
        <f t="shared" ca="1" si="2"/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21</v>
      </c>
      <c r="L9">
        <f t="shared" ca="1" si="2"/>
        <v>36</v>
      </c>
      <c r="N9" s="1">
        <f ca="1">AVERAGE(B9:M9)</f>
        <v>20.818181818181817</v>
      </c>
    </row>
    <row r="10" spans="1:14" x14ac:dyDescent="0.3">
      <c r="N10" s="1"/>
    </row>
    <row r="11" spans="1:14" x14ac:dyDescent="0.3">
      <c r="A11" t="s">
        <v>49</v>
      </c>
      <c r="B11" t="s">
        <v>93</v>
      </c>
      <c r="C11" t="s">
        <v>26</v>
      </c>
      <c r="D11" t="s">
        <v>110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154</v>
      </c>
      <c r="L11" t="s">
        <v>25</v>
      </c>
      <c r="N11" s="1"/>
    </row>
    <row r="12" spans="1:14" x14ac:dyDescent="0.3">
      <c r="B12">
        <f t="shared" ref="B12:L12" ca="1" si="3">DATEDIF(VLOOKUP(B11,$P$18:$Q$100,2,FALSE),TODAY(),"Y")</f>
        <v>20</v>
      </c>
      <c r="C12">
        <f t="shared" ca="1" si="3"/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21</v>
      </c>
      <c r="L12">
        <f t="shared" ca="1" si="3"/>
        <v>36</v>
      </c>
      <c r="N12" s="1">
        <f ca="1">AVERAGE(B12:M12)</f>
        <v>20.818181818181817</v>
      </c>
    </row>
    <row r="14" spans="1:14" x14ac:dyDescent="0.3">
      <c r="A14" t="s">
        <v>177</v>
      </c>
      <c r="B14" t="s">
        <v>93</v>
      </c>
      <c r="C14" t="s">
        <v>26</v>
      </c>
      <c r="D14" t="s">
        <v>110</v>
      </c>
      <c r="E14" t="s">
        <v>59</v>
      </c>
      <c r="F14" t="s">
        <v>23</v>
      </c>
      <c r="G14" t="s">
        <v>178</v>
      </c>
      <c r="H14" t="s">
        <v>31</v>
      </c>
      <c r="I14" t="s">
        <v>22</v>
      </c>
      <c r="J14" t="s">
        <v>24</v>
      </c>
      <c r="K14" t="s">
        <v>179</v>
      </c>
      <c r="L14" t="s">
        <v>25</v>
      </c>
      <c r="N14" s="1"/>
    </row>
    <row r="15" spans="1:14" x14ac:dyDescent="0.3">
      <c r="B15">
        <f t="shared" ref="B15:L15" ca="1" si="4">DATEDIF(VLOOKUP(B14,$P$18:$Q$100,2,FALSE),TODAY(),"Y")</f>
        <v>20</v>
      </c>
      <c r="C15">
        <f t="shared" ca="1" si="4"/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169</v>
      </c>
      <c r="B17" t="s">
        <v>93</v>
      </c>
      <c r="C17" t="s">
        <v>26</v>
      </c>
      <c r="D17" t="s">
        <v>110</v>
      </c>
      <c r="E17" t="s">
        <v>59</v>
      </c>
      <c r="F17" t="s">
        <v>23</v>
      </c>
      <c r="G17" t="s">
        <v>178</v>
      </c>
      <c r="H17" t="s">
        <v>79</v>
      </c>
      <c r="I17" t="s">
        <v>22</v>
      </c>
      <c r="J17" t="s">
        <v>24</v>
      </c>
      <c r="K17" t="s">
        <v>179</v>
      </c>
      <c r="L17" t="s">
        <v>25</v>
      </c>
      <c r="N17" s="1"/>
    </row>
    <row r="18" spans="1:20" x14ac:dyDescent="0.3">
      <c r="B18">
        <f t="shared" ref="B18:L18" ca="1" si="5">DATEDIF(VLOOKUP(B17,$P$18:$Q$100,2,FALSE),TODAY(),"Y")</f>
        <v>20</v>
      </c>
      <c r="C18">
        <f t="shared" ca="1" si="5"/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93</v>
      </c>
      <c r="Q18" s="6">
        <v>38482</v>
      </c>
      <c r="T18">
        <v>33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93</v>
      </c>
      <c r="C20" t="s">
        <v>154</v>
      </c>
      <c r="D20" t="s">
        <v>110</v>
      </c>
      <c r="E20" t="s">
        <v>59</v>
      </c>
      <c r="F20" t="s">
        <v>23</v>
      </c>
      <c r="G20" t="s">
        <v>219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94</v>
      </c>
      <c r="Q20" s="6">
        <v>38620</v>
      </c>
    </row>
    <row r="21" spans="1:20" x14ac:dyDescent="0.3">
      <c r="B21">
        <f t="shared" ref="B21:L21" ca="1" si="6">DATEDIF(VLOOKUP(B20,$P$18:$Q$100,2,FALSE),TODAY(),"Y")</f>
        <v>20</v>
      </c>
      <c r="C21">
        <f t="shared" ca="1" si="6"/>
        <v>21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93</v>
      </c>
      <c r="C23" t="s">
        <v>154</v>
      </c>
      <c r="D23" t="s">
        <v>110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227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t="shared" ref="B24:L24" ca="1" si="7">DATEDIF(VLOOKUP(B23,$P$18:$Q$100,2,FALSE),TODAY(),"Y")</f>
        <v>20</v>
      </c>
      <c r="C24">
        <f t="shared" ca="1" si="7"/>
        <v>21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20.636363636363637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93</v>
      </c>
      <c r="C26" t="s">
        <v>230</v>
      </c>
      <c r="D26" t="s">
        <v>110</v>
      </c>
      <c r="E26" t="s">
        <v>59</v>
      </c>
      <c r="F26" t="s">
        <v>179</v>
      </c>
      <c r="G26" t="s">
        <v>26</v>
      </c>
      <c r="H26" t="s">
        <v>79</v>
      </c>
      <c r="I26" t="s">
        <v>38</v>
      </c>
      <c r="J26" t="s">
        <v>24</v>
      </c>
      <c r="K26" t="s">
        <v>219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t="shared" ref="B27:L27" ca="1" si="8">DATEDIF(VLOOKUP(B26,$P$18:$Q$100,2,FALSE),TODAY(),"Y")</f>
        <v>20</v>
      </c>
      <c r="C27">
        <f t="shared" ca="1" si="8"/>
        <v>20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19.727272727272727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223</v>
      </c>
      <c r="B29" t="s">
        <v>93</v>
      </c>
      <c r="C29" t="s">
        <v>230</v>
      </c>
      <c r="D29" t="s">
        <v>178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241</v>
      </c>
      <c r="L29" t="s">
        <v>154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21</v>
      </c>
      <c r="N30" s="1">
        <f ca="1">AVERAGE(B30:M30)</f>
        <v>19.454545454545453</v>
      </c>
      <c r="P30" t="s">
        <v>110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203</v>
      </c>
      <c r="B32" t="s">
        <v>93</v>
      </c>
      <c r="C32" t="s">
        <v>230</v>
      </c>
      <c r="D32" t="s">
        <v>178</v>
      </c>
      <c r="E32" t="s">
        <v>247</v>
      </c>
      <c r="F32" t="s">
        <v>110</v>
      </c>
      <c r="G32" t="s">
        <v>32</v>
      </c>
      <c r="H32" t="s">
        <v>179</v>
      </c>
      <c r="I32" t="s">
        <v>248</v>
      </c>
      <c r="J32" t="s">
        <v>25</v>
      </c>
      <c r="K32" t="s">
        <v>241</v>
      </c>
      <c r="L32" t="s">
        <v>154</v>
      </c>
      <c r="N32" s="1"/>
      <c r="P32" t="s">
        <v>154</v>
      </c>
      <c r="Q32" s="6">
        <v>38425</v>
      </c>
    </row>
    <row r="33" spans="1:17" x14ac:dyDescent="0.3">
      <c r="B33">
        <f t="shared" ref="B33:L33" ca="1" si="10">DATEDIF(VLOOKUP(B32,$P$18:$Q$100,2,FALSE),TODAY(),"Y")</f>
        <v>20</v>
      </c>
      <c r="C33">
        <f t="shared" ca="1" si="10"/>
        <v>20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21</v>
      </c>
      <c r="N33" s="1">
        <f ca="1">AVERAGE(B33:M33)</f>
        <v>21.181818181818183</v>
      </c>
      <c r="P33" t="s">
        <v>178</v>
      </c>
      <c r="Q33" s="6">
        <v>38324</v>
      </c>
    </row>
    <row r="34" spans="1:17" x14ac:dyDescent="0.3">
      <c r="P34" t="s">
        <v>179</v>
      </c>
      <c r="Q34" s="6">
        <v>38653</v>
      </c>
    </row>
    <row r="35" spans="1:17" x14ac:dyDescent="0.3">
      <c r="A35" t="s">
        <v>51</v>
      </c>
      <c r="B35" t="s">
        <v>93</v>
      </c>
      <c r="C35" t="s">
        <v>230</v>
      </c>
      <c r="D35" t="s">
        <v>59</v>
      </c>
      <c r="E35" t="s">
        <v>247</v>
      </c>
      <c r="F35" t="s">
        <v>110</v>
      </c>
      <c r="G35" t="s">
        <v>24</v>
      </c>
      <c r="H35" t="s">
        <v>26</v>
      </c>
      <c r="I35" t="s">
        <v>248</v>
      </c>
      <c r="J35" t="s">
        <v>25</v>
      </c>
      <c r="K35" t="s">
        <v>241</v>
      </c>
      <c r="L35" t="s">
        <v>154</v>
      </c>
      <c r="N35" s="1"/>
      <c r="P35" t="s">
        <v>219</v>
      </c>
      <c r="Q35" s="6">
        <v>37284</v>
      </c>
    </row>
    <row r="36" spans="1:17" x14ac:dyDescent="0.3">
      <c r="B36">
        <f t="shared" ref="B36:L36" ca="1" si="11">DATEDIF(VLOOKUP(B35,$P$18:$Q$100,2,FALSE),TODAY(),"Y")</f>
        <v>20</v>
      </c>
      <c r="C36">
        <f t="shared" ca="1" si="11"/>
        <v>20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21</v>
      </c>
      <c r="N36" s="1">
        <f ca="1">AVERAGE(B36:M36)</f>
        <v>21.09090909090909</v>
      </c>
      <c r="P36" t="s">
        <v>227</v>
      </c>
      <c r="Q36" s="6">
        <v>39501</v>
      </c>
    </row>
    <row r="37" spans="1:17" x14ac:dyDescent="0.3">
      <c r="P37" t="s">
        <v>230</v>
      </c>
      <c r="Q37" s="6">
        <v>38783</v>
      </c>
    </row>
    <row r="38" spans="1:17" x14ac:dyDescent="0.3">
      <c r="A38" t="s">
        <v>181</v>
      </c>
      <c r="B38" t="s">
        <v>93</v>
      </c>
      <c r="C38" t="s">
        <v>178</v>
      </c>
      <c r="D38" t="s">
        <v>59</v>
      </c>
      <c r="E38" t="s">
        <v>247</v>
      </c>
      <c r="F38" t="s">
        <v>110</v>
      </c>
      <c r="G38" t="s">
        <v>24</v>
      </c>
      <c r="H38" t="s">
        <v>32</v>
      </c>
      <c r="I38" t="s">
        <v>263</v>
      </c>
      <c r="J38" t="s">
        <v>25</v>
      </c>
      <c r="K38" t="s">
        <v>23</v>
      </c>
      <c r="L38" t="s">
        <v>154</v>
      </c>
      <c r="N38" s="1"/>
      <c r="P38" t="s">
        <v>241</v>
      </c>
      <c r="Q38" s="6">
        <v>38520</v>
      </c>
    </row>
    <row r="39" spans="1:17" x14ac:dyDescent="0.3">
      <c r="B39">
        <f t="shared" ref="B39:L39" ca="1" si="12">DATEDIF(VLOOKUP(B38,$P$18:$Q$100,2,FALSE),TODAY(),"Y")</f>
        <v>20</v>
      </c>
      <c r="C39">
        <f t="shared" ca="1" si="12"/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21</v>
      </c>
      <c r="N39" s="1">
        <f ca="1">AVERAGE(B39:M39)</f>
        <v>21.181818181818183</v>
      </c>
      <c r="P39" t="s">
        <v>247</v>
      </c>
      <c r="Q39" s="6">
        <v>38493</v>
      </c>
    </row>
    <row r="40" spans="1:17" x14ac:dyDescent="0.3">
      <c r="P40" t="s">
        <v>248</v>
      </c>
      <c r="Q40" s="6">
        <v>39427</v>
      </c>
    </row>
    <row r="41" spans="1:17" x14ac:dyDescent="0.3">
      <c r="A41" t="s">
        <v>53</v>
      </c>
      <c r="B41" t="s">
        <v>93</v>
      </c>
      <c r="C41" t="s">
        <v>270</v>
      </c>
      <c r="D41" t="s">
        <v>59</v>
      </c>
      <c r="E41" t="s">
        <v>247</v>
      </c>
      <c r="F41" t="s">
        <v>110</v>
      </c>
      <c r="G41" t="s">
        <v>24</v>
      </c>
      <c r="H41" t="s">
        <v>271</v>
      </c>
      <c r="I41" t="s">
        <v>26</v>
      </c>
      <c r="J41" t="s">
        <v>25</v>
      </c>
      <c r="K41" t="s">
        <v>241</v>
      </c>
      <c r="L41" t="s">
        <v>22</v>
      </c>
      <c r="N41" s="1"/>
      <c r="P41" t="s">
        <v>263</v>
      </c>
      <c r="Q41" s="6">
        <v>38387</v>
      </c>
    </row>
    <row r="42" spans="1:17" x14ac:dyDescent="0.3">
      <c r="B42">
        <f t="shared" ref="B42:L42" ca="1" si="13">DATEDIF(VLOOKUP(B41,$P$18:$Q$100,2,FALSE),TODAY(),"Y")</f>
        <v>20</v>
      </c>
      <c r="C42">
        <f t="shared" ca="1" si="13"/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271</v>
      </c>
      <c r="Q42" s="6">
        <v>38599</v>
      </c>
    </row>
    <row r="43" spans="1:17" x14ac:dyDescent="0.3">
      <c r="P43" t="s">
        <v>270</v>
      </c>
      <c r="Q43" s="6">
        <v>38364</v>
      </c>
    </row>
    <row r="44" spans="1:17" x14ac:dyDescent="0.3">
      <c r="A44" t="s">
        <v>231</v>
      </c>
      <c r="B44" t="s">
        <v>93</v>
      </c>
      <c r="C44" t="s">
        <v>270</v>
      </c>
      <c r="D44" t="s">
        <v>23</v>
      </c>
      <c r="E44" t="s">
        <v>247</v>
      </c>
      <c r="F44" t="s">
        <v>110</v>
      </c>
      <c r="G44" t="s">
        <v>24</v>
      </c>
      <c r="H44" t="s">
        <v>271</v>
      </c>
      <c r="I44" t="s">
        <v>26</v>
      </c>
      <c r="J44" t="s">
        <v>25</v>
      </c>
      <c r="K44" t="s">
        <v>241</v>
      </c>
      <c r="L44" t="s">
        <v>22</v>
      </c>
      <c r="N44" s="1"/>
      <c r="P44" t="s">
        <v>276</v>
      </c>
      <c r="Q44" s="6">
        <v>39580</v>
      </c>
    </row>
    <row r="45" spans="1:17" x14ac:dyDescent="0.3">
      <c r="B45">
        <f t="shared" ref="B45:L45" ca="1" si="14">DATEDIF(VLOOKUP(B44,$P$18:$Q$100,2,FALSE),TODAY(),"Y")</f>
        <v>20</v>
      </c>
      <c r="C45">
        <f t="shared" ca="1" si="14"/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189</v>
      </c>
      <c r="Q45" s="6">
        <v>38999</v>
      </c>
    </row>
    <row r="46" spans="1:17" x14ac:dyDescent="0.3">
      <c r="P46" t="s">
        <v>287</v>
      </c>
      <c r="Q46" s="6">
        <v>35610</v>
      </c>
    </row>
    <row r="47" spans="1:17" x14ac:dyDescent="0.3">
      <c r="A47" t="s">
        <v>60</v>
      </c>
      <c r="B47" t="s">
        <v>93</v>
      </c>
      <c r="C47" t="s">
        <v>270</v>
      </c>
      <c r="D47" t="s">
        <v>23</v>
      </c>
      <c r="E47" t="s">
        <v>247</v>
      </c>
      <c r="F47" t="s">
        <v>110</v>
      </c>
      <c r="G47" t="s">
        <v>263</v>
      </c>
      <c r="H47" t="s">
        <v>271</v>
      </c>
      <c r="I47" t="s">
        <v>26</v>
      </c>
      <c r="J47" t="s">
        <v>25</v>
      </c>
      <c r="K47" t="s">
        <v>241</v>
      </c>
      <c r="L47" t="s">
        <v>79</v>
      </c>
      <c r="N47" s="1"/>
      <c r="P47" t="s">
        <v>302</v>
      </c>
      <c r="Q47" s="6">
        <v>37823</v>
      </c>
    </row>
    <row r="48" spans="1:17" x14ac:dyDescent="0.3">
      <c r="B48">
        <f t="shared" ref="B48:L48" ca="1" si="15">DATEDIF(VLOOKUP(B47,$P$18:$Q$100,2,FALSE),TODAY(),"Y")</f>
        <v>20</v>
      </c>
      <c r="C48">
        <f t="shared" ca="1" si="15"/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  <c r="P48" t="s">
        <v>317</v>
      </c>
      <c r="Q48" s="6">
        <v>39100</v>
      </c>
    </row>
    <row r="49" spans="1:17" x14ac:dyDescent="0.3">
      <c r="P49" t="s">
        <v>319</v>
      </c>
      <c r="Q49" s="6">
        <v>38841</v>
      </c>
    </row>
    <row r="50" spans="1:17" x14ac:dyDescent="0.3">
      <c r="A50" t="s">
        <v>109</v>
      </c>
      <c r="B50" t="s">
        <v>93</v>
      </c>
      <c r="C50" t="s">
        <v>227</v>
      </c>
      <c r="D50" t="s">
        <v>23</v>
      </c>
      <c r="E50" t="s">
        <v>247</v>
      </c>
      <c r="F50" t="s">
        <v>110</v>
      </c>
      <c r="G50" t="s">
        <v>263</v>
      </c>
      <c r="H50" t="s">
        <v>271</v>
      </c>
      <c r="I50" t="s">
        <v>26</v>
      </c>
      <c r="J50" t="s">
        <v>25</v>
      </c>
      <c r="K50" t="s">
        <v>276</v>
      </c>
      <c r="L50" t="s">
        <v>248</v>
      </c>
      <c r="N50" s="1"/>
      <c r="P50" t="s">
        <v>318</v>
      </c>
      <c r="Q50" s="6">
        <v>39034</v>
      </c>
    </row>
    <row r="51" spans="1:17" x14ac:dyDescent="0.3">
      <c r="B51">
        <f t="shared" ref="B51:L51" ca="1" si="16">DATEDIF(VLOOKUP(B50,$P$18:$Q$100,2,FALSE),TODAY(),"Y")</f>
        <v>20</v>
      </c>
      <c r="C51">
        <f t="shared" ca="1" si="16"/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7" x14ac:dyDescent="0.3">
      <c r="A53" t="s">
        <v>153</v>
      </c>
      <c r="B53" t="s">
        <v>93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154</v>
      </c>
      <c r="I53" t="s">
        <v>189</v>
      </c>
      <c r="J53" t="s">
        <v>25</v>
      </c>
      <c r="K53" t="s">
        <v>276</v>
      </c>
      <c r="L53" t="s">
        <v>287</v>
      </c>
      <c r="N53" s="1"/>
    </row>
    <row r="54" spans="1:17" x14ac:dyDescent="0.3">
      <c r="B54">
        <f t="shared" ref="B54:L54" ca="1" si="17">DATEDIF(VLOOKUP(B53,$P$18:$Q$100,2,FALSE),TODAY(),"Y")</f>
        <v>20</v>
      </c>
      <c r="C54">
        <f t="shared" ca="1" si="17"/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21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21.181818181818183</v>
      </c>
    </row>
    <row r="56" spans="1:17" x14ac:dyDescent="0.3">
      <c r="A56" t="s">
        <v>49</v>
      </c>
      <c r="B56" t="s">
        <v>93</v>
      </c>
      <c r="C56" t="s">
        <v>31</v>
      </c>
      <c r="D56" t="s">
        <v>230</v>
      </c>
      <c r="E56" t="s">
        <v>241</v>
      </c>
      <c r="F56" t="s">
        <v>38</v>
      </c>
      <c r="G56" t="s">
        <v>79</v>
      </c>
      <c r="H56" t="s">
        <v>154</v>
      </c>
      <c r="I56" t="s">
        <v>110</v>
      </c>
      <c r="J56" t="s">
        <v>25</v>
      </c>
      <c r="K56" t="s">
        <v>270</v>
      </c>
      <c r="L56" t="s">
        <v>287</v>
      </c>
      <c r="N56" s="1"/>
    </row>
    <row r="57" spans="1:17" x14ac:dyDescent="0.3">
      <c r="B57">
        <f t="shared" ref="B57:L57" ca="1" si="18">DATEDIF(VLOOKUP(B56,$P$18:$Q$100,2,FALSE),TODAY(),"Y")</f>
        <v>20</v>
      </c>
      <c r="C57">
        <f t="shared" ca="1" si="18"/>
        <v>18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21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21.727272727272727</v>
      </c>
    </row>
    <row r="59" spans="1:17" x14ac:dyDescent="0.3">
      <c r="A59" t="s">
        <v>177</v>
      </c>
      <c r="B59" t="s">
        <v>93</v>
      </c>
      <c r="C59" t="s">
        <v>23</v>
      </c>
      <c r="D59" t="s">
        <v>230</v>
      </c>
      <c r="E59" t="s">
        <v>241</v>
      </c>
      <c r="F59" t="s">
        <v>38</v>
      </c>
      <c r="G59" t="s">
        <v>79</v>
      </c>
      <c r="H59" t="s">
        <v>154</v>
      </c>
      <c r="I59" t="s">
        <v>110</v>
      </c>
      <c r="J59" t="s">
        <v>25</v>
      </c>
      <c r="K59" t="s">
        <v>270</v>
      </c>
      <c r="L59" t="s">
        <v>287</v>
      </c>
      <c r="N59" s="1"/>
    </row>
    <row r="60" spans="1:17" x14ac:dyDescent="0.3">
      <c r="B60">
        <f t="shared" ref="B60:L60" ca="1" si="19">DATEDIF(VLOOKUP(B59,$P$18:$Q$100,2,FALSE),TODAY(),"Y")</f>
        <v>20</v>
      </c>
      <c r="C60">
        <f t="shared" ca="1" si="19"/>
        <v>19</v>
      </c>
      <c r="D60">
        <f t="shared" ca="1" si="19"/>
        <v>20</v>
      </c>
      <c r="E60">
        <f t="shared" ca="1" si="19"/>
        <v>20</v>
      </c>
      <c r="F60">
        <f t="shared" ca="1" si="19"/>
        <v>18</v>
      </c>
      <c r="G60">
        <f t="shared" ca="1" si="19"/>
        <v>18</v>
      </c>
      <c r="H60">
        <f t="shared" ca="1" si="19"/>
        <v>21</v>
      </c>
      <c r="I60">
        <f t="shared" ca="1" si="19"/>
        <v>19</v>
      </c>
      <c r="J60">
        <f t="shared" ca="1" si="19"/>
        <v>36</v>
      </c>
      <c r="K60">
        <f t="shared" ca="1" si="19"/>
        <v>21</v>
      </c>
      <c r="L60">
        <f t="shared" ca="1" si="19"/>
        <v>28</v>
      </c>
      <c r="N60" s="1">
        <f ca="1">AVERAGE(B60:M60)</f>
        <v>21.818181818181817</v>
      </c>
    </row>
    <row r="62" spans="1:17" x14ac:dyDescent="0.3">
      <c r="A62" t="s">
        <v>169</v>
      </c>
      <c r="B62" t="s">
        <v>93</v>
      </c>
      <c r="C62" t="s">
        <v>23</v>
      </c>
      <c r="D62" t="s">
        <v>230</v>
      </c>
      <c r="E62" t="s">
        <v>241</v>
      </c>
      <c r="F62" t="s">
        <v>302</v>
      </c>
      <c r="G62" t="s">
        <v>79</v>
      </c>
      <c r="H62" t="s">
        <v>227</v>
      </c>
      <c r="I62" t="s">
        <v>110</v>
      </c>
      <c r="J62" t="s">
        <v>25</v>
      </c>
      <c r="K62" t="s">
        <v>271</v>
      </c>
      <c r="L62" t="s">
        <v>287</v>
      </c>
      <c r="N62" s="1"/>
    </row>
    <row r="63" spans="1:17" x14ac:dyDescent="0.3">
      <c r="B63">
        <f t="shared" ref="B63:L63" ca="1" si="20">DATEDIF(VLOOKUP(B62,$P$18:$Q$100,2,FALSE),TODAY(),"Y")</f>
        <v>20</v>
      </c>
      <c r="C63">
        <f t="shared" ca="1" si="20"/>
        <v>19</v>
      </c>
      <c r="D63">
        <f t="shared" ca="1" si="20"/>
        <v>20</v>
      </c>
      <c r="E63">
        <f t="shared" ca="1" si="20"/>
        <v>20</v>
      </c>
      <c r="F63">
        <f t="shared" ca="1" si="20"/>
        <v>22</v>
      </c>
      <c r="G63">
        <f t="shared" ca="1" si="20"/>
        <v>18</v>
      </c>
      <c r="H63">
        <f t="shared" ca="1" si="20"/>
        <v>18</v>
      </c>
      <c r="I63">
        <f t="shared" ca="1" si="20"/>
        <v>19</v>
      </c>
      <c r="J63">
        <f t="shared" ca="1" si="20"/>
        <v>36</v>
      </c>
      <c r="K63">
        <f t="shared" ca="1" si="20"/>
        <v>20</v>
      </c>
      <c r="L63">
        <f t="shared" ca="1" si="20"/>
        <v>28</v>
      </c>
      <c r="N63" s="1">
        <f ca="1">AVERAGE(B63:M63)</f>
        <v>21.818181818181817</v>
      </c>
    </row>
    <row r="65" spans="1:14" x14ac:dyDescent="0.3">
      <c r="A65" t="s">
        <v>50</v>
      </c>
      <c r="B65" t="s">
        <v>93</v>
      </c>
      <c r="C65" t="s">
        <v>23</v>
      </c>
      <c r="D65" t="s">
        <v>230</v>
      </c>
      <c r="E65" t="s">
        <v>22</v>
      </c>
      <c r="F65" t="s">
        <v>302</v>
      </c>
      <c r="G65" t="s">
        <v>79</v>
      </c>
      <c r="H65" t="s">
        <v>227</v>
      </c>
      <c r="I65" t="s">
        <v>247</v>
      </c>
      <c r="J65" t="s">
        <v>25</v>
      </c>
      <c r="K65" t="s">
        <v>271</v>
      </c>
      <c r="L65" t="s">
        <v>287</v>
      </c>
      <c r="N65" s="1"/>
    </row>
    <row r="66" spans="1:14" x14ac:dyDescent="0.3">
      <c r="B66">
        <f t="shared" ref="B66:L66" ca="1" si="21">DATEDIF(VLOOKUP(B65,$P$18:$Q$100,2,FALSE),TODAY(),"Y")</f>
        <v>20</v>
      </c>
      <c r="C66">
        <f t="shared" ca="1" si="21"/>
        <v>19</v>
      </c>
      <c r="D66">
        <f t="shared" ca="1" si="21"/>
        <v>20</v>
      </c>
      <c r="E66">
        <f t="shared" ca="1" si="21"/>
        <v>20</v>
      </c>
      <c r="F66">
        <f t="shared" ca="1" si="21"/>
        <v>22</v>
      </c>
      <c r="G66">
        <f t="shared" ca="1" si="21"/>
        <v>18</v>
      </c>
      <c r="H66">
        <f t="shared" ca="1" si="21"/>
        <v>18</v>
      </c>
      <c r="I66">
        <f t="shared" ca="1" si="21"/>
        <v>20</v>
      </c>
      <c r="J66">
        <f t="shared" ca="1" si="21"/>
        <v>36</v>
      </c>
      <c r="K66">
        <f t="shared" ca="1" si="21"/>
        <v>20</v>
      </c>
      <c r="L66">
        <f t="shared" ca="1" si="21"/>
        <v>28</v>
      </c>
      <c r="N66" s="1">
        <f ca="1">AVERAGE(B66:M66)</f>
        <v>21.90909090909091</v>
      </c>
    </row>
    <row r="68" spans="1:14" x14ac:dyDescent="0.3">
      <c r="A68" t="s">
        <v>46</v>
      </c>
      <c r="B68" t="s">
        <v>317</v>
      </c>
      <c r="C68" t="s">
        <v>23</v>
      </c>
      <c r="D68" t="s">
        <v>230</v>
      </c>
      <c r="E68" t="s">
        <v>318</v>
      </c>
      <c r="F68" t="s">
        <v>302</v>
      </c>
      <c r="G68" t="s">
        <v>79</v>
      </c>
      <c r="H68" t="s">
        <v>241</v>
      </c>
      <c r="I68" t="s">
        <v>247</v>
      </c>
      <c r="J68" t="s">
        <v>319</v>
      </c>
      <c r="K68" t="s">
        <v>271</v>
      </c>
      <c r="L68" t="s">
        <v>287</v>
      </c>
      <c r="N68" s="1"/>
    </row>
    <row r="69" spans="1:14" x14ac:dyDescent="0.3">
      <c r="B69">
        <f t="shared" ref="B69:L69" ca="1" si="22">DATEDIF(VLOOKUP(B68,$P$18:$Q$100,2,FALSE),TODAY(),"Y")</f>
        <v>19</v>
      </c>
      <c r="C69">
        <f t="shared" ca="1" si="22"/>
        <v>19</v>
      </c>
      <c r="D69">
        <f t="shared" ca="1" si="22"/>
        <v>20</v>
      </c>
      <c r="E69">
        <f t="shared" ca="1" si="22"/>
        <v>19</v>
      </c>
      <c r="F69">
        <f t="shared" ca="1" si="22"/>
        <v>22</v>
      </c>
      <c r="G69">
        <f t="shared" ca="1" si="22"/>
        <v>18</v>
      </c>
      <c r="H69">
        <f t="shared" ca="1" si="22"/>
        <v>20</v>
      </c>
      <c r="I69">
        <f t="shared" ca="1" si="22"/>
        <v>20</v>
      </c>
      <c r="J69">
        <f t="shared" ca="1" si="22"/>
        <v>19</v>
      </c>
      <c r="K69">
        <f t="shared" ca="1" si="22"/>
        <v>20</v>
      </c>
      <c r="L69">
        <f t="shared" ca="1" si="22"/>
        <v>28</v>
      </c>
      <c r="N69" s="1">
        <f ca="1">AVERAGE(B69:M69)</f>
        <v>20.363636363636363</v>
      </c>
    </row>
    <row r="71" spans="1:14" x14ac:dyDescent="0.3">
      <c r="A71" t="s">
        <v>55</v>
      </c>
      <c r="B71" t="s">
        <v>317</v>
      </c>
      <c r="C71" t="s">
        <v>23</v>
      </c>
      <c r="D71" t="s">
        <v>38</v>
      </c>
      <c r="E71" t="s">
        <v>59</v>
      </c>
      <c r="F71" t="s">
        <v>24</v>
      </c>
      <c r="G71" t="s">
        <v>79</v>
      </c>
      <c r="H71" t="s">
        <v>227</v>
      </c>
      <c r="I71" t="s">
        <v>25</v>
      </c>
      <c r="J71" t="s">
        <v>189</v>
      </c>
      <c r="K71" t="s">
        <v>271</v>
      </c>
      <c r="L71" t="s">
        <v>287</v>
      </c>
      <c r="N71" s="1"/>
    </row>
    <row r="72" spans="1:14" x14ac:dyDescent="0.3">
      <c r="B72">
        <f t="shared" ref="B72:L72" ca="1" si="23">DATEDIF(VLOOKUP(B71,$P$18:$Q$100,2,FALSE),TODAY(),"Y")</f>
        <v>19</v>
      </c>
      <c r="C72">
        <f t="shared" ca="1" si="23"/>
        <v>19</v>
      </c>
      <c r="D72">
        <f t="shared" ca="1" si="23"/>
        <v>18</v>
      </c>
      <c r="E72">
        <f t="shared" ca="1" si="23"/>
        <v>19</v>
      </c>
      <c r="F72">
        <f t="shared" ca="1" si="23"/>
        <v>19</v>
      </c>
      <c r="G72">
        <f t="shared" ca="1" si="23"/>
        <v>18</v>
      </c>
      <c r="H72">
        <f t="shared" ca="1" si="23"/>
        <v>18</v>
      </c>
      <c r="I72">
        <f t="shared" ca="1" si="23"/>
        <v>36</v>
      </c>
      <c r="J72">
        <f t="shared" ca="1" si="23"/>
        <v>19</v>
      </c>
      <c r="K72">
        <f t="shared" ca="1" si="23"/>
        <v>20</v>
      </c>
      <c r="L72">
        <f t="shared" ca="1" si="23"/>
        <v>28</v>
      </c>
      <c r="N72" s="1">
        <f ca="1">AVERAGE(B72:M72)</f>
        <v>21.181818181818183</v>
      </c>
    </row>
    <row r="74" spans="1:14" x14ac:dyDescent="0.3">
      <c r="A74" t="s">
        <v>203</v>
      </c>
      <c r="B74" t="s">
        <v>317</v>
      </c>
      <c r="C74" t="s">
        <v>23</v>
      </c>
      <c r="D74" t="s">
        <v>38</v>
      </c>
      <c r="E74" t="s">
        <v>319</v>
      </c>
      <c r="F74" t="s">
        <v>22</v>
      </c>
      <c r="G74" t="s">
        <v>318</v>
      </c>
      <c r="H74" t="s">
        <v>270</v>
      </c>
      <c r="I74" t="s">
        <v>25</v>
      </c>
      <c r="J74" t="s">
        <v>241</v>
      </c>
      <c r="K74" t="s">
        <v>271</v>
      </c>
      <c r="L74" t="s">
        <v>287</v>
      </c>
      <c r="N74" s="1"/>
    </row>
    <row r="75" spans="1:14" x14ac:dyDescent="0.3">
      <c r="B75">
        <f t="shared" ref="B75:L75" ca="1" si="24">DATEDIF(VLOOKUP(B74,$P$18:$Q$100,2,FALSE),TODAY(),"Y")</f>
        <v>19</v>
      </c>
      <c r="C75">
        <f t="shared" ca="1" si="24"/>
        <v>19</v>
      </c>
      <c r="D75">
        <f t="shared" ca="1" si="24"/>
        <v>18</v>
      </c>
      <c r="E75">
        <f t="shared" ca="1" si="24"/>
        <v>19</v>
      </c>
      <c r="F75">
        <f t="shared" ca="1" si="24"/>
        <v>20</v>
      </c>
      <c r="G75">
        <f t="shared" ca="1" si="24"/>
        <v>19</v>
      </c>
      <c r="H75">
        <f t="shared" ca="1" si="24"/>
        <v>21</v>
      </c>
      <c r="I75">
        <f t="shared" ca="1" si="24"/>
        <v>36</v>
      </c>
      <c r="J75">
        <f t="shared" ca="1" si="24"/>
        <v>20</v>
      </c>
      <c r="K75">
        <f t="shared" ca="1" si="24"/>
        <v>20</v>
      </c>
      <c r="L75">
        <f t="shared" ca="1" si="24"/>
        <v>28</v>
      </c>
      <c r="N75" s="1">
        <f ca="1">AVERAGE(B75:M75)</f>
        <v>21.727272727272727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69"/>
  <sheetViews>
    <sheetView topLeftCell="A16" workbookViewId="0">
      <selection activeCell="P50" sqref="P18:P50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21.003952569169957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95</v>
      </c>
      <c r="L2" t="s">
        <v>96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25</v>
      </c>
      <c r="F3">
        <f t="shared" ca="1" si="0"/>
        <v>25</v>
      </c>
      <c r="G3">
        <f t="shared" ca="1" si="0"/>
        <v>20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21.272727272727273</v>
      </c>
    </row>
    <row r="5" spans="1:14" x14ac:dyDescent="0.3">
      <c r="A5" t="s">
        <v>112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111</v>
      </c>
      <c r="I5" t="s">
        <v>28</v>
      </c>
      <c r="J5" t="s">
        <v>78</v>
      </c>
      <c r="K5" t="s">
        <v>95</v>
      </c>
      <c r="L5" t="s">
        <v>96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25</v>
      </c>
      <c r="F6">
        <f t="shared" ca="1" si="1"/>
        <v>25</v>
      </c>
      <c r="G6">
        <f t="shared" ca="1" si="1"/>
        <v>20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21.545454545454547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95</v>
      </c>
      <c r="L8" t="s">
        <v>96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25</v>
      </c>
      <c r="F9">
        <f t="shared" ca="1" si="2"/>
        <v>25</v>
      </c>
      <c r="G9">
        <f t="shared" ca="1" si="2"/>
        <v>20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21.272727272727273</v>
      </c>
    </row>
    <row r="11" spans="1:14" x14ac:dyDescent="0.3">
      <c r="A11" t="s">
        <v>102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111</v>
      </c>
      <c r="H11" t="s">
        <v>14</v>
      </c>
      <c r="I11" t="s">
        <v>28</v>
      </c>
      <c r="J11" t="s">
        <v>78</v>
      </c>
      <c r="K11" t="s">
        <v>170</v>
      </c>
      <c r="L11" t="s">
        <v>96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25</v>
      </c>
      <c r="F12">
        <f t="shared" ca="1" si="3"/>
        <v>25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21.181818181818183</v>
      </c>
    </row>
    <row r="14" spans="1:14" x14ac:dyDescent="0.3">
      <c r="A14" t="s">
        <v>149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111</v>
      </c>
      <c r="H14" t="s">
        <v>175</v>
      </c>
      <c r="I14" t="s">
        <v>176</v>
      </c>
      <c r="J14" t="s">
        <v>78</v>
      </c>
      <c r="K14" t="s">
        <v>170</v>
      </c>
      <c r="L14" t="s">
        <v>96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25</v>
      </c>
      <c r="F15">
        <f t="shared" ca="1" si="5"/>
        <v>25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21</v>
      </c>
    </row>
    <row r="17" spans="1:20" x14ac:dyDescent="0.3">
      <c r="A17" t="s">
        <v>166</v>
      </c>
      <c r="B17" t="s">
        <v>13</v>
      </c>
      <c r="C17" t="s">
        <v>192</v>
      </c>
      <c r="D17" t="s">
        <v>10</v>
      </c>
      <c r="E17" t="s">
        <v>14</v>
      </c>
      <c r="F17" t="s">
        <v>12</v>
      </c>
      <c r="G17" t="s">
        <v>95</v>
      </c>
      <c r="H17" t="s">
        <v>193</v>
      </c>
      <c r="I17" t="s">
        <v>28</v>
      </c>
      <c r="J17" t="s">
        <v>78</v>
      </c>
      <c r="K17" t="s">
        <v>170</v>
      </c>
      <c r="L17" t="s">
        <v>96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25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20.363636363636363</v>
      </c>
      <c r="P18" t="s">
        <v>9</v>
      </c>
      <c r="Q18" s="6">
        <v>37152</v>
      </c>
      <c r="T18">
        <v>33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174</v>
      </c>
      <c r="B20" t="s">
        <v>196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197</v>
      </c>
      <c r="I20" t="s">
        <v>29</v>
      </c>
      <c r="J20" t="s">
        <v>78</v>
      </c>
      <c r="K20" t="s">
        <v>170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25</v>
      </c>
      <c r="G21">
        <f t="shared" ca="1" si="7"/>
        <v>25</v>
      </c>
      <c r="H21">
        <f t="shared" ca="1" si="7"/>
        <v>20</v>
      </c>
      <c r="I21">
        <f t="shared" ca="1" si="7"/>
        <v>20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20.454545454545453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191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220</v>
      </c>
      <c r="I23" t="s">
        <v>29</v>
      </c>
      <c r="J23" t="s">
        <v>78</v>
      </c>
      <c r="K23" t="s">
        <v>170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25</v>
      </c>
      <c r="G24">
        <f t="shared" ca="1" si="8"/>
        <v>25</v>
      </c>
      <c r="H24">
        <f t="shared" ca="1" si="8"/>
        <v>20</v>
      </c>
      <c r="I24">
        <f t="shared" ca="1" si="8"/>
        <v>20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20.727272727272727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222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197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25</v>
      </c>
      <c r="G27">
        <f t="shared" ca="1" si="9"/>
        <v>25</v>
      </c>
      <c r="H27">
        <f t="shared" ca="1" si="9"/>
        <v>20</v>
      </c>
      <c r="I27">
        <f t="shared" ca="1" si="9"/>
        <v>20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21</v>
      </c>
      <c r="P27" t="s">
        <v>95</v>
      </c>
      <c r="Q27" s="6">
        <v>38149</v>
      </c>
    </row>
    <row r="28" spans="1:20" x14ac:dyDescent="0.3">
      <c r="P28" t="s">
        <v>96</v>
      </c>
      <c r="Q28" s="6">
        <v>39101</v>
      </c>
    </row>
    <row r="29" spans="1:20" x14ac:dyDescent="0.3">
      <c r="A29" t="s">
        <v>228</v>
      </c>
      <c r="B29" t="s">
        <v>13</v>
      </c>
      <c r="C29" t="s">
        <v>238</v>
      </c>
      <c r="D29" t="s">
        <v>10</v>
      </c>
      <c r="E29" t="s">
        <v>14</v>
      </c>
      <c r="F29" t="s">
        <v>12</v>
      </c>
      <c r="G29" t="s">
        <v>193</v>
      </c>
      <c r="H29" t="s">
        <v>197</v>
      </c>
      <c r="I29" t="s">
        <v>29</v>
      </c>
      <c r="J29" t="s">
        <v>78</v>
      </c>
      <c r="K29" t="s">
        <v>20</v>
      </c>
      <c r="L29" t="s">
        <v>17</v>
      </c>
      <c r="P29" t="s">
        <v>111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25</v>
      </c>
      <c r="G30">
        <f t="shared" ca="1" si="10"/>
        <v>21</v>
      </c>
      <c r="H30">
        <f t="shared" ca="1" si="10"/>
        <v>20</v>
      </c>
      <c r="I30">
        <f t="shared" ca="1" si="10"/>
        <v>20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20.636363636363637</v>
      </c>
      <c r="P30" t="s">
        <v>170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229</v>
      </c>
      <c r="B32" t="s">
        <v>13</v>
      </c>
      <c r="C32" t="s">
        <v>28</v>
      </c>
      <c r="D32" t="s">
        <v>10</v>
      </c>
      <c r="E32" t="s">
        <v>239</v>
      </c>
      <c r="F32" t="s">
        <v>12</v>
      </c>
      <c r="G32" t="s">
        <v>11</v>
      </c>
      <c r="H32" t="s">
        <v>197</v>
      </c>
      <c r="I32" t="s">
        <v>29</v>
      </c>
      <c r="J32" t="s">
        <v>78</v>
      </c>
      <c r="K32" t="s">
        <v>20</v>
      </c>
      <c r="L32" t="s">
        <v>17</v>
      </c>
      <c r="P32" t="s">
        <v>175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25</v>
      </c>
      <c r="G33">
        <f t="shared" ca="1" si="11"/>
        <v>25</v>
      </c>
      <c r="H33">
        <f t="shared" ca="1" si="11"/>
        <v>20</v>
      </c>
      <c r="I33">
        <f t="shared" ca="1" si="11"/>
        <v>20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21</v>
      </c>
      <c r="P33" t="s">
        <v>176</v>
      </c>
      <c r="Q33" s="6">
        <v>38563</v>
      </c>
    </row>
    <row r="34" spans="1:17" x14ac:dyDescent="0.3">
      <c r="P34" t="s">
        <v>192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197</v>
      </c>
      <c r="F35" t="s">
        <v>12</v>
      </c>
      <c r="G35" t="s">
        <v>238</v>
      </c>
      <c r="H35" t="s">
        <v>250</v>
      </c>
      <c r="I35" t="s">
        <v>29</v>
      </c>
      <c r="J35" t="s">
        <v>78</v>
      </c>
      <c r="K35" t="s">
        <v>193</v>
      </c>
      <c r="L35" t="s">
        <v>17</v>
      </c>
      <c r="P35" t="s">
        <v>193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25</v>
      </c>
      <c r="G36">
        <f t="shared" ca="1" si="12"/>
        <v>20</v>
      </c>
      <c r="H36">
        <f t="shared" ca="1" si="12"/>
        <v>19</v>
      </c>
      <c r="I36">
        <f t="shared" ca="1" si="12"/>
        <v>20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20.636363636363637</v>
      </c>
      <c r="P36" t="s">
        <v>197</v>
      </c>
      <c r="Q36" s="6">
        <v>38587</v>
      </c>
    </row>
    <row r="37" spans="1:17" x14ac:dyDescent="0.3">
      <c r="P37" t="s">
        <v>196</v>
      </c>
      <c r="Q37" s="6">
        <v>39590</v>
      </c>
    </row>
    <row r="38" spans="1:17" x14ac:dyDescent="0.3">
      <c r="A38" t="s">
        <v>84</v>
      </c>
      <c r="B38" t="s">
        <v>13</v>
      </c>
      <c r="C38" t="s">
        <v>111</v>
      </c>
      <c r="D38" t="s">
        <v>10</v>
      </c>
      <c r="E38" t="s">
        <v>197</v>
      </c>
      <c r="F38" t="s">
        <v>11</v>
      </c>
      <c r="G38" t="s">
        <v>238</v>
      </c>
      <c r="H38" t="s">
        <v>250</v>
      </c>
      <c r="I38" t="s">
        <v>29</v>
      </c>
      <c r="J38" t="s">
        <v>78</v>
      </c>
      <c r="K38" t="s">
        <v>193</v>
      </c>
      <c r="L38" t="s">
        <v>17</v>
      </c>
      <c r="P38" t="s">
        <v>220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25</v>
      </c>
      <c r="G39">
        <f t="shared" ca="1" si="13"/>
        <v>20</v>
      </c>
      <c r="H39">
        <f t="shared" ca="1" si="13"/>
        <v>19</v>
      </c>
      <c r="I39">
        <f t="shared" ca="1" si="13"/>
        <v>20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20.727272727272727</v>
      </c>
      <c r="P39" t="s">
        <v>20</v>
      </c>
      <c r="Q39" s="6">
        <v>38362</v>
      </c>
    </row>
    <row r="40" spans="1:17" x14ac:dyDescent="0.3">
      <c r="P40" t="s">
        <v>238</v>
      </c>
      <c r="Q40" s="6">
        <v>38650</v>
      </c>
    </row>
    <row r="41" spans="1:17" x14ac:dyDescent="0.3">
      <c r="A41" t="s">
        <v>194</v>
      </c>
      <c r="B41" t="s">
        <v>9</v>
      </c>
      <c r="C41" t="s">
        <v>20</v>
      </c>
      <c r="D41" t="s">
        <v>10</v>
      </c>
      <c r="E41" t="s">
        <v>197</v>
      </c>
      <c r="F41" t="s">
        <v>11</v>
      </c>
      <c r="G41" t="s">
        <v>238</v>
      </c>
      <c r="H41" t="s">
        <v>250</v>
      </c>
      <c r="I41" t="s">
        <v>29</v>
      </c>
      <c r="J41" t="s">
        <v>254</v>
      </c>
      <c r="K41" t="s">
        <v>193</v>
      </c>
      <c r="L41" t="s">
        <v>17</v>
      </c>
      <c r="P41" t="s">
        <v>239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25</v>
      </c>
      <c r="G42">
        <f t="shared" ca="1" si="14"/>
        <v>20</v>
      </c>
      <c r="H42">
        <f t="shared" ca="1" si="14"/>
        <v>19</v>
      </c>
      <c r="I42">
        <f t="shared" ca="1" si="14"/>
        <v>20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20.90909090909091</v>
      </c>
      <c r="P42" t="s">
        <v>250</v>
      </c>
      <c r="Q42" s="6">
        <v>39108</v>
      </c>
    </row>
    <row r="43" spans="1:17" x14ac:dyDescent="0.3">
      <c r="P43" t="s">
        <v>254</v>
      </c>
      <c r="Q43" s="6">
        <v>38417</v>
      </c>
    </row>
    <row r="44" spans="1:17" x14ac:dyDescent="0.3">
      <c r="A44" t="s">
        <v>164</v>
      </c>
      <c r="B44" t="s">
        <v>9</v>
      </c>
      <c r="C44" t="s">
        <v>20</v>
      </c>
      <c r="D44" t="s">
        <v>10</v>
      </c>
      <c r="E44" t="s">
        <v>265</v>
      </c>
      <c r="F44" t="s">
        <v>11</v>
      </c>
      <c r="G44" t="s">
        <v>238</v>
      </c>
      <c r="H44" t="s">
        <v>266</v>
      </c>
      <c r="I44" t="s">
        <v>29</v>
      </c>
      <c r="J44" t="s">
        <v>250</v>
      </c>
      <c r="K44" t="s">
        <v>193</v>
      </c>
      <c r="L44" t="s">
        <v>17</v>
      </c>
      <c r="P44" t="s">
        <v>265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25</v>
      </c>
      <c r="G45">
        <f t="shared" ca="1" si="15"/>
        <v>20</v>
      </c>
      <c r="H45">
        <f t="shared" ca="1" si="15"/>
        <v>22</v>
      </c>
      <c r="I45">
        <f t="shared" ca="1" si="15"/>
        <v>20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21.09090909090909</v>
      </c>
      <c r="P45" t="s">
        <v>266</v>
      </c>
      <c r="Q45" s="6">
        <v>37955</v>
      </c>
    </row>
    <row r="46" spans="1:17" x14ac:dyDescent="0.3">
      <c r="P46" t="s">
        <v>296</v>
      </c>
      <c r="Q46" s="6">
        <v>39276</v>
      </c>
    </row>
    <row r="47" spans="1:17" x14ac:dyDescent="0.3">
      <c r="A47" t="s">
        <v>15</v>
      </c>
      <c r="B47" t="s">
        <v>9</v>
      </c>
      <c r="C47" t="s">
        <v>111</v>
      </c>
      <c r="D47" t="s">
        <v>10</v>
      </c>
      <c r="E47" t="s">
        <v>265</v>
      </c>
      <c r="F47" t="s">
        <v>11</v>
      </c>
      <c r="G47" t="s">
        <v>238</v>
      </c>
      <c r="H47" t="s">
        <v>14</v>
      </c>
      <c r="I47" t="s">
        <v>95</v>
      </c>
      <c r="J47" t="s">
        <v>12</v>
      </c>
      <c r="K47" t="s">
        <v>96</v>
      </c>
      <c r="L47" t="s">
        <v>170</v>
      </c>
      <c r="P47" t="s">
        <v>184</v>
      </c>
      <c r="Q47" s="6">
        <v>36921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25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25</v>
      </c>
      <c r="K48">
        <f t="shared" ca="1" si="16"/>
        <v>19</v>
      </c>
      <c r="L48">
        <f t="shared" ca="1" si="16"/>
        <v>18</v>
      </c>
      <c r="N48" s="1">
        <f ca="1">AVERAGE(B48:L48)</f>
        <v>21.272727272727273</v>
      </c>
      <c r="P48" t="s">
        <v>305</v>
      </c>
      <c r="Q48" s="6">
        <v>38795</v>
      </c>
    </row>
    <row r="49" spans="1:17" x14ac:dyDescent="0.3">
      <c r="P49" t="s">
        <v>313</v>
      </c>
      <c r="Q49" s="6">
        <v>38708</v>
      </c>
    </row>
    <row r="50" spans="1:17" x14ac:dyDescent="0.3">
      <c r="A50" t="s">
        <v>112</v>
      </c>
      <c r="B50" t="s">
        <v>9</v>
      </c>
      <c r="C50" t="s">
        <v>111</v>
      </c>
      <c r="D50" t="s">
        <v>10</v>
      </c>
      <c r="E50" t="s">
        <v>265</v>
      </c>
      <c r="F50" t="s">
        <v>296</v>
      </c>
      <c r="G50" t="s">
        <v>238</v>
      </c>
      <c r="H50" t="s">
        <v>14</v>
      </c>
      <c r="I50" t="s">
        <v>95</v>
      </c>
      <c r="J50" t="s">
        <v>12</v>
      </c>
      <c r="K50" t="s">
        <v>96</v>
      </c>
      <c r="L50" t="s">
        <v>170</v>
      </c>
      <c r="P50" t="s">
        <v>314</v>
      </c>
      <c r="Q50" s="6">
        <v>39042</v>
      </c>
    </row>
    <row r="51" spans="1:17" x14ac:dyDescent="0.3">
      <c r="B51">
        <f ca="1">DATEDIF(VLOOKUP(B50,$P$18:$Q$100,2,FALSE),TODAY(),"Y")</f>
        <v>24</v>
      </c>
      <c r="C51">
        <f t="shared" ref="C51:L51" ca="1" si="17">DATEDIF(VLOOKUP(C50,$P$18:$Q$100,2,FALSE),TODAY(),"Y")</f>
        <v>22</v>
      </c>
      <c r="D51">
        <f t="shared" ca="1" si="17"/>
        <v>20</v>
      </c>
      <c r="E51">
        <f t="shared" ca="1" si="17"/>
        <v>21</v>
      </c>
      <c r="F51">
        <f t="shared" ca="1" si="17"/>
        <v>18</v>
      </c>
      <c r="G51">
        <f t="shared" ca="1" si="17"/>
        <v>20</v>
      </c>
      <c r="H51">
        <f t="shared" ca="1" si="17"/>
        <v>19</v>
      </c>
      <c r="I51">
        <f t="shared" ca="1" si="17"/>
        <v>21</v>
      </c>
      <c r="J51">
        <f t="shared" ca="1" si="17"/>
        <v>25</v>
      </c>
      <c r="K51">
        <f t="shared" ca="1" si="17"/>
        <v>19</v>
      </c>
      <c r="L51">
        <f t="shared" ca="1" si="17"/>
        <v>18</v>
      </c>
      <c r="N51" s="1">
        <f ca="1">AVERAGE(B51:L51)</f>
        <v>20.636363636363637</v>
      </c>
    </row>
    <row r="53" spans="1:17" x14ac:dyDescent="0.3">
      <c r="A53" t="s">
        <v>33</v>
      </c>
      <c r="B53" t="s">
        <v>9</v>
      </c>
      <c r="C53" t="s">
        <v>192</v>
      </c>
      <c r="D53" t="s">
        <v>10</v>
      </c>
      <c r="E53" t="s">
        <v>265</v>
      </c>
      <c r="F53" t="s">
        <v>305</v>
      </c>
      <c r="G53" t="s">
        <v>184</v>
      </c>
      <c r="H53" t="s">
        <v>14</v>
      </c>
      <c r="I53" t="s">
        <v>95</v>
      </c>
      <c r="J53" t="s">
        <v>12</v>
      </c>
      <c r="K53" t="s">
        <v>193</v>
      </c>
      <c r="L53" t="s">
        <v>170</v>
      </c>
    </row>
    <row r="54" spans="1:17" x14ac:dyDescent="0.3">
      <c r="B54">
        <f ca="1">DATEDIF(VLOOKUP(B53,$P$18:$Q$100,2,FALSE),TODAY(),"Y")</f>
        <v>24</v>
      </c>
      <c r="C54">
        <f t="shared" ref="C54:L54" ca="1" si="18">DATEDIF(VLOOKUP(C53,$P$18:$Q$100,2,FALSE),TODAY(),"Y")</f>
        <v>19</v>
      </c>
      <c r="D54">
        <f t="shared" ca="1" si="18"/>
        <v>20</v>
      </c>
      <c r="E54">
        <f t="shared" ca="1" si="18"/>
        <v>21</v>
      </c>
      <c r="F54">
        <f t="shared" ca="1" si="18"/>
        <v>20</v>
      </c>
      <c r="G54">
        <f t="shared" ca="1" si="18"/>
        <v>25</v>
      </c>
      <c r="H54">
        <f t="shared" ca="1" si="18"/>
        <v>19</v>
      </c>
      <c r="I54">
        <f t="shared" ca="1" si="18"/>
        <v>21</v>
      </c>
      <c r="J54">
        <f t="shared" ca="1" si="18"/>
        <v>25</v>
      </c>
      <c r="K54">
        <f t="shared" ca="1" si="18"/>
        <v>21</v>
      </c>
      <c r="L54">
        <f t="shared" ca="1" si="18"/>
        <v>18</v>
      </c>
      <c r="N54" s="1">
        <f ca="1">AVERAGE(B54:L54)</f>
        <v>21.181818181818183</v>
      </c>
    </row>
    <row r="56" spans="1:17" x14ac:dyDescent="0.3">
      <c r="A56" t="s">
        <v>102</v>
      </c>
      <c r="B56" t="s">
        <v>9</v>
      </c>
      <c r="C56" t="s">
        <v>111</v>
      </c>
      <c r="D56" t="s">
        <v>10</v>
      </c>
      <c r="E56" t="s">
        <v>265</v>
      </c>
      <c r="F56" t="s">
        <v>28</v>
      </c>
      <c r="G56" t="s">
        <v>11</v>
      </c>
      <c r="H56" t="s">
        <v>175</v>
      </c>
      <c r="I56" t="s">
        <v>95</v>
      </c>
      <c r="J56" t="s">
        <v>12</v>
      </c>
      <c r="K56" t="s">
        <v>250</v>
      </c>
      <c r="L56" t="s">
        <v>170</v>
      </c>
    </row>
    <row r="57" spans="1:17" x14ac:dyDescent="0.3">
      <c r="B57">
        <f ca="1">DATEDIF(VLOOKUP(B56,$P$18:$Q$100,2,FALSE),TODAY(),"Y")</f>
        <v>24</v>
      </c>
      <c r="C57">
        <f t="shared" ref="C57:L57" ca="1" si="19">DATEDIF(VLOOKUP(C56,$P$18:$Q$100,2,FALSE),TODAY(),"Y")</f>
        <v>22</v>
      </c>
      <c r="D57">
        <f t="shared" ca="1" si="19"/>
        <v>20</v>
      </c>
      <c r="E57">
        <f t="shared" ca="1" si="19"/>
        <v>21</v>
      </c>
      <c r="F57">
        <f t="shared" ca="1" si="19"/>
        <v>20</v>
      </c>
      <c r="G57">
        <f t="shared" ca="1" si="19"/>
        <v>25</v>
      </c>
      <c r="H57">
        <f t="shared" ca="1" si="19"/>
        <v>21</v>
      </c>
      <c r="I57">
        <f t="shared" ca="1" si="19"/>
        <v>21</v>
      </c>
      <c r="J57">
        <f t="shared" ca="1" si="19"/>
        <v>25</v>
      </c>
      <c r="K57">
        <f t="shared" ca="1" si="19"/>
        <v>19</v>
      </c>
      <c r="L57">
        <f t="shared" ca="1" si="19"/>
        <v>18</v>
      </c>
      <c r="N57" s="1">
        <f ca="1">AVERAGE(B57:L57)</f>
        <v>21.454545454545453</v>
      </c>
    </row>
    <row r="59" spans="1:17" x14ac:dyDescent="0.3">
      <c r="A59" t="s">
        <v>149</v>
      </c>
      <c r="B59" t="s">
        <v>13</v>
      </c>
      <c r="C59" t="s">
        <v>111</v>
      </c>
      <c r="D59" t="s">
        <v>10</v>
      </c>
      <c r="E59" t="s">
        <v>266</v>
      </c>
      <c r="F59" t="s">
        <v>28</v>
      </c>
      <c r="G59" t="s">
        <v>11</v>
      </c>
      <c r="H59" t="s">
        <v>175</v>
      </c>
      <c r="I59" t="s">
        <v>96</v>
      </c>
      <c r="J59" t="s">
        <v>12</v>
      </c>
      <c r="K59" t="s">
        <v>313</v>
      </c>
      <c r="L59" t="s">
        <v>314</v>
      </c>
    </row>
    <row r="60" spans="1:17" x14ac:dyDescent="0.3">
      <c r="B60">
        <f ca="1">DATEDIF(VLOOKUP(B59,$P$18:$Q$100,2,FALSE),TODAY(),"Y")</f>
        <v>20</v>
      </c>
      <c r="C60">
        <f t="shared" ref="C60:L60" ca="1" si="20">DATEDIF(VLOOKUP(C59,$P$18:$Q$100,2,FALSE),TODAY(),"Y")</f>
        <v>22</v>
      </c>
      <c r="D60">
        <f t="shared" ca="1" si="20"/>
        <v>20</v>
      </c>
      <c r="E60">
        <f t="shared" ca="1" si="20"/>
        <v>22</v>
      </c>
      <c r="F60">
        <f t="shared" ca="1" si="20"/>
        <v>20</v>
      </c>
      <c r="G60">
        <f t="shared" ca="1" si="20"/>
        <v>25</v>
      </c>
      <c r="H60">
        <f t="shared" ca="1" si="20"/>
        <v>21</v>
      </c>
      <c r="I60">
        <f t="shared" ca="1" si="20"/>
        <v>19</v>
      </c>
      <c r="J60">
        <f t="shared" ca="1" si="20"/>
        <v>25</v>
      </c>
      <c r="K60">
        <f t="shared" ca="1" si="20"/>
        <v>20</v>
      </c>
      <c r="L60">
        <f t="shared" ca="1" si="20"/>
        <v>19</v>
      </c>
      <c r="N60" s="1">
        <f ca="1">AVERAGE(B60:L60)</f>
        <v>21.181818181818183</v>
      </c>
    </row>
    <row r="62" spans="1:17" x14ac:dyDescent="0.3">
      <c r="A62" t="s">
        <v>166</v>
      </c>
      <c r="B62" t="s">
        <v>9</v>
      </c>
      <c r="C62" t="s">
        <v>305</v>
      </c>
      <c r="D62" t="s">
        <v>10</v>
      </c>
      <c r="E62" t="s">
        <v>266</v>
      </c>
      <c r="F62" t="s">
        <v>96</v>
      </c>
      <c r="G62" t="s">
        <v>11</v>
      </c>
      <c r="H62" t="s">
        <v>175</v>
      </c>
      <c r="I62" t="s">
        <v>192</v>
      </c>
      <c r="J62" t="s">
        <v>95</v>
      </c>
      <c r="K62" t="s">
        <v>313</v>
      </c>
      <c r="L62" t="s">
        <v>193</v>
      </c>
    </row>
    <row r="63" spans="1:17" x14ac:dyDescent="0.3">
      <c r="B63">
        <f ca="1">DATEDIF(VLOOKUP(B62,$P$18:$Q$100,2,FALSE),TODAY(),"Y")</f>
        <v>24</v>
      </c>
      <c r="C63">
        <f t="shared" ref="C63:L63" ca="1" si="21">DATEDIF(VLOOKUP(C62,$P$18:$Q$100,2,FALSE),TODAY(),"Y")</f>
        <v>20</v>
      </c>
      <c r="D63">
        <f t="shared" ca="1" si="21"/>
        <v>20</v>
      </c>
      <c r="E63">
        <f t="shared" ca="1" si="21"/>
        <v>22</v>
      </c>
      <c r="F63">
        <f t="shared" ca="1" si="21"/>
        <v>19</v>
      </c>
      <c r="G63">
        <f t="shared" ca="1" si="21"/>
        <v>25</v>
      </c>
      <c r="H63">
        <f t="shared" ca="1" si="21"/>
        <v>21</v>
      </c>
      <c r="I63">
        <f t="shared" ca="1" si="21"/>
        <v>19</v>
      </c>
      <c r="J63">
        <f t="shared" ca="1" si="21"/>
        <v>21</v>
      </c>
      <c r="K63">
        <f t="shared" ca="1" si="21"/>
        <v>20</v>
      </c>
      <c r="L63">
        <f t="shared" ca="1" si="21"/>
        <v>21</v>
      </c>
      <c r="N63" s="1">
        <f ca="1">AVERAGE(B63:L63)</f>
        <v>21.09090909090909</v>
      </c>
    </row>
    <row r="65" spans="1:14" x14ac:dyDescent="0.3">
      <c r="A65" t="s">
        <v>174</v>
      </c>
      <c r="B65" t="s">
        <v>9</v>
      </c>
      <c r="C65" t="s">
        <v>238</v>
      </c>
      <c r="D65" t="s">
        <v>10</v>
      </c>
      <c r="E65" t="s">
        <v>265</v>
      </c>
      <c r="F65" t="s">
        <v>28</v>
      </c>
      <c r="G65" t="s">
        <v>12</v>
      </c>
      <c r="H65" t="s">
        <v>184</v>
      </c>
      <c r="I65" t="s">
        <v>250</v>
      </c>
      <c r="J65" t="s">
        <v>95</v>
      </c>
      <c r="K65" t="s">
        <v>313</v>
      </c>
      <c r="L65" t="s">
        <v>193</v>
      </c>
    </row>
    <row r="66" spans="1:14" x14ac:dyDescent="0.3">
      <c r="B66">
        <f ca="1">DATEDIF(VLOOKUP(B65,$P$18:$Q$100,2,FALSE),TODAY(),"Y")</f>
        <v>24</v>
      </c>
      <c r="C66">
        <f t="shared" ref="C66:L66" ca="1" si="22">DATEDIF(VLOOKUP(C65,$P$18:$Q$100,2,FALSE),TODAY(),"Y")</f>
        <v>20</v>
      </c>
      <c r="D66">
        <f t="shared" ca="1" si="22"/>
        <v>20</v>
      </c>
      <c r="E66">
        <f t="shared" ca="1" si="22"/>
        <v>21</v>
      </c>
      <c r="F66">
        <f t="shared" ca="1" si="22"/>
        <v>20</v>
      </c>
      <c r="G66">
        <f t="shared" ca="1" si="22"/>
        <v>25</v>
      </c>
      <c r="H66">
        <f t="shared" ca="1" si="22"/>
        <v>25</v>
      </c>
      <c r="I66">
        <f t="shared" ca="1" si="22"/>
        <v>19</v>
      </c>
      <c r="J66">
        <f t="shared" ca="1" si="22"/>
        <v>21</v>
      </c>
      <c r="K66">
        <f t="shared" ca="1" si="22"/>
        <v>20</v>
      </c>
      <c r="L66">
        <f t="shared" ca="1" si="22"/>
        <v>21</v>
      </c>
      <c r="N66" s="1">
        <f ca="1">AVERAGE(B66:L66)</f>
        <v>21.454545454545453</v>
      </c>
    </row>
    <row r="68" spans="1:14" x14ac:dyDescent="0.3">
      <c r="A68" t="s">
        <v>191</v>
      </c>
      <c r="B68" t="s">
        <v>13</v>
      </c>
      <c r="C68" t="s">
        <v>238</v>
      </c>
      <c r="D68" t="s">
        <v>10</v>
      </c>
      <c r="E68" t="s">
        <v>265</v>
      </c>
      <c r="F68" t="s">
        <v>28</v>
      </c>
      <c r="G68" t="s">
        <v>12</v>
      </c>
      <c r="H68" t="s">
        <v>11</v>
      </c>
      <c r="I68" t="s">
        <v>250</v>
      </c>
      <c r="J68" t="s">
        <v>95</v>
      </c>
      <c r="K68" t="s">
        <v>111</v>
      </c>
      <c r="L68" t="s">
        <v>170</v>
      </c>
    </row>
    <row r="69" spans="1:14" x14ac:dyDescent="0.3">
      <c r="B69">
        <f ca="1">DATEDIF(VLOOKUP(B68,$P$18:$Q$100,2,FALSE),TODAY(),"Y")</f>
        <v>20</v>
      </c>
      <c r="C69">
        <f t="shared" ref="C69:L69" ca="1" si="23">DATEDIF(VLOOKUP(C68,$P$18:$Q$100,2,FALSE),TODAY(),"Y")</f>
        <v>20</v>
      </c>
      <c r="D69">
        <f t="shared" ca="1" si="23"/>
        <v>20</v>
      </c>
      <c r="E69">
        <f t="shared" ca="1" si="23"/>
        <v>21</v>
      </c>
      <c r="F69">
        <f t="shared" ca="1" si="23"/>
        <v>20</v>
      </c>
      <c r="G69">
        <f t="shared" ca="1" si="23"/>
        <v>25</v>
      </c>
      <c r="H69">
        <f t="shared" ca="1" si="23"/>
        <v>25</v>
      </c>
      <c r="I69">
        <f t="shared" ca="1" si="23"/>
        <v>19</v>
      </c>
      <c r="J69">
        <f t="shared" ca="1" si="23"/>
        <v>21</v>
      </c>
      <c r="K69">
        <f t="shared" ca="1" si="23"/>
        <v>22</v>
      </c>
      <c r="L69">
        <f t="shared" ca="1" si="23"/>
        <v>18</v>
      </c>
      <c r="N69" s="1">
        <f ca="1">AVERAGE(B69:L69)</f>
        <v>21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8"/>
  <sheetViews>
    <sheetView topLeftCell="A13" workbookViewId="0">
      <selection activeCell="A35" sqref="A35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19.47902097902098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97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20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19.818181818181817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97</v>
      </c>
      <c r="G5" t="s">
        <v>45</v>
      </c>
      <c r="H5" t="s">
        <v>44</v>
      </c>
      <c r="I5" t="s">
        <v>56</v>
      </c>
      <c r="J5" t="s">
        <v>54</v>
      </c>
      <c r="K5" t="s">
        <v>113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20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20.272727272727273</v>
      </c>
    </row>
    <row r="8" spans="1:14" x14ac:dyDescent="0.3">
      <c r="A8" t="s">
        <v>163</v>
      </c>
      <c r="B8" t="s">
        <v>161</v>
      </c>
      <c r="C8" t="s">
        <v>42</v>
      </c>
      <c r="D8" t="s">
        <v>48</v>
      </c>
      <c r="E8" t="s">
        <v>52</v>
      </c>
      <c r="F8" t="s">
        <v>97</v>
      </c>
      <c r="G8" t="s">
        <v>45</v>
      </c>
      <c r="H8" t="s">
        <v>44</v>
      </c>
      <c r="I8" t="s">
        <v>162</v>
      </c>
      <c r="J8" t="s">
        <v>54</v>
      </c>
      <c r="K8" t="s">
        <v>113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161</v>
      </c>
      <c r="C11" t="s">
        <v>42</v>
      </c>
      <c r="D11" t="s">
        <v>172</v>
      </c>
      <c r="E11" t="s">
        <v>52</v>
      </c>
      <c r="F11" t="s">
        <v>97</v>
      </c>
      <c r="G11" t="s">
        <v>45</v>
      </c>
      <c r="H11" t="s">
        <v>44</v>
      </c>
      <c r="I11" t="s">
        <v>162</v>
      </c>
      <c r="J11" t="s">
        <v>54</v>
      </c>
      <c r="K11" t="s">
        <v>113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18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20.09090909090909</v>
      </c>
    </row>
    <row r="14" spans="1:14" x14ac:dyDescent="0.3">
      <c r="A14" t="s">
        <v>60</v>
      </c>
      <c r="B14" t="s">
        <v>47</v>
      </c>
      <c r="C14" t="s">
        <v>42</v>
      </c>
      <c r="D14" t="s">
        <v>180</v>
      </c>
      <c r="E14" t="s">
        <v>52</v>
      </c>
      <c r="F14" t="s">
        <v>97</v>
      </c>
      <c r="G14" t="s">
        <v>45</v>
      </c>
      <c r="H14" t="s">
        <v>44</v>
      </c>
      <c r="I14" t="s">
        <v>162</v>
      </c>
      <c r="J14" t="s">
        <v>54</v>
      </c>
      <c r="K14" t="s">
        <v>113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180</v>
      </c>
      <c r="E17" t="s">
        <v>52</v>
      </c>
      <c r="F17" t="s">
        <v>97</v>
      </c>
      <c r="G17" t="s">
        <v>45</v>
      </c>
      <c r="H17" t="s">
        <v>202</v>
      </c>
      <c r="I17" t="s">
        <v>162</v>
      </c>
      <c r="J17" t="s">
        <v>172</v>
      </c>
      <c r="K17" t="s">
        <v>113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25</v>
      </c>
      <c r="L18">
        <f t="shared" ca="1" si="5"/>
        <v>21</v>
      </c>
      <c r="N18" s="1">
        <f ca="1">AVERAGE(B18:M18)</f>
        <v>20.09090909090909</v>
      </c>
      <c r="P18" t="s">
        <v>47</v>
      </c>
      <c r="Q18" s="6">
        <v>38672</v>
      </c>
      <c r="T18">
        <v>27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153</v>
      </c>
      <c r="B20" t="s">
        <v>47</v>
      </c>
      <c r="C20" t="s">
        <v>56</v>
      </c>
      <c r="D20" t="s">
        <v>42</v>
      </c>
      <c r="E20" t="s">
        <v>52</v>
      </c>
      <c r="F20" t="s">
        <v>97</v>
      </c>
      <c r="G20" t="s">
        <v>45</v>
      </c>
      <c r="H20" t="s">
        <v>217</v>
      </c>
      <c r="I20" t="s">
        <v>162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19.727272727272727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181</v>
      </c>
      <c r="B23" t="s">
        <v>161</v>
      </c>
      <c r="C23" t="s">
        <v>56</v>
      </c>
      <c r="D23" t="s">
        <v>42</v>
      </c>
      <c r="E23" t="s">
        <v>52</v>
      </c>
      <c r="F23" t="s">
        <v>97</v>
      </c>
      <c r="G23" t="s">
        <v>45</v>
      </c>
      <c r="H23" t="s">
        <v>217</v>
      </c>
      <c r="I23" t="s">
        <v>162</v>
      </c>
      <c r="J23" t="s">
        <v>54</v>
      </c>
      <c r="K23" t="s">
        <v>44</v>
      </c>
      <c r="L23" t="s">
        <v>27</v>
      </c>
      <c r="P23" t="s">
        <v>97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20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19.818181818181817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231</v>
      </c>
      <c r="B26" t="s">
        <v>161</v>
      </c>
      <c r="C26" t="s">
        <v>56</v>
      </c>
      <c r="D26" t="s">
        <v>42</v>
      </c>
      <c r="E26" t="s">
        <v>52</v>
      </c>
      <c r="F26" t="s">
        <v>97</v>
      </c>
      <c r="G26" t="s">
        <v>45</v>
      </c>
      <c r="H26" t="s">
        <v>232</v>
      </c>
      <c r="I26" t="s">
        <v>162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20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19.90909090909091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177</v>
      </c>
      <c r="B29" t="s">
        <v>161</v>
      </c>
      <c r="C29" t="s">
        <v>180</v>
      </c>
      <c r="D29" t="s">
        <v>42</v>
      </c>
      <c r="E29" t="s">
        <v>52</v>
      </c>
      <c r="F29" t="s">
        <v>97</v>
      </c>
      <c r="G29" t="s">
        <v>45</v>
      </c>
      <c r="H29" t="s">
        <v>232</v>
      </c>
      <c r="I29" t="s">
        <v>162</v>
      </c>
      <c r="J29" t="s">
        <v>54</v>
      </c>
      <c r="K29" t="s">
        <v>44</v>
      </c>
      <c r="L29" t="s">
        <v>243</v>
      </c>
      <c r="P29" t="s">
        <v>113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161</v>
      </c>
      <c r="Q30" s="6">
        <v>38273</v>
      </c>
    </row>
    <row r="31" spans="1:20" x14ac:dyDescent="0.3">
      <c r="P31" t="s">
        <v>162</v>
      </c>
      <c r="Q31" s="6">
        <v>38930</v>
      </c>
    </row>
    <row r="32" spans="1:20" x14ac:dyDescent="0.3">
      <c r="A32" t="s">
        <v>55</v>
      </c>
      <c r="B32" t="s">
        <v>161</v>
      </c>
      <c r="C32" t="s">
        <v>180</v>
      </c>
      <c r="D32" t="s">
        <v>42</v>
      </c>
      <c r="E32" t="s">
        <v>52</v>
      </c>
      <c r="F32" t="s">
        <v>97</v>
      </c>
      <c r="G32" t="s">
        <v>45</v>
      </c>
      <c r="H32" t="s">
        <v>232</v>
      </c>
      <c r="I32" t="s">
        <v>162</v>
      </c>
      <c r="J32" t="s">
        <v>54</v>
      </c>
      <c r="K32" t="s">
        <v>44</v>
      </c>
      <c r="L32" t="s">
        <v>243</v>
      </c>
      <c r="P32" t="s">
        <v>172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180</v>
      </c>
      <c r="Q33" s="6">
        <v>39202</v>
      </c>
    </row>
    <row r="34" spans="1:17" x14ac:dyDescent="0.3">
      <c r="P34" t="s">
        <v>202</v>
      </c>
      <c r="Q34" s="6">
        <v>39235</v>
      </c>
    </row>
    <row r="35" spans="1:17" x14ac:dyDescent="0.3">
      <c r="A35" t="s">
        <v>223</v>
      </c>
      <c r="B35" t="s">
        <v>161</v>
      </c>
      <c r="C35" t="s">
        <v>48</v>
      </c>
      <c r="D35" t="s">
        <v>42</v>
      </c>
      <c r="E35" t="s">
        <v>180</v>
      </c>
      <c r="F35" t="s">
        <v>97</v>
      </c>
      <c r="G35" t="s">
        <v>27</v>
      </c>
      <c r="H35" t="s">
        <v>172</v>
      </c>
      <c r="I35" t="s">
        <v>162</v>
      </c>
      <c r="J35" t="s">
        <v>54</v>
      </c>
      <c r="K35" t="s">
        <v>44</v>
      </c>
      <c r="L35" t="s">
        <v>202</v>
      </c>
      <c r="P35" t="s">
        <v>217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19.545454545454547</v>
      </c>
      <c r="P36" t="s">
        <v>232</v>
      </c>
      <c r="Q36" s="6">
        <v>38377</v>
      </c>
    </row>
    <row r="37" spans="1:17" x14ac:dyDescent="0.3">
      <c r="P37" t="s">
        <v>243</v>
      </c>
      <c r="Q37" s="6">
        <v>38949</v>
      </c>
    </row>
    <row r="38" spans="1:17" x14ac:dyDescent="0.3">
      <c r="A38" t="s">
        <v>109</v>
      </c>
      <c r="B38" t="s">
        <v>47</v>
      </c>
      <c r="C38" t="s">
        <v>48</v>
      </c>
      <c r="D38" t="s">
        <v>42</v>
      </c>
      <c r="E38" t="s">
        <v>180</v>
      </c>
      <c r="F38" t="s">
        <v>97</v>
      </c>
      <c r="G38" t="s">
        <v>243</v>
      </c>
      <c r="H38" t="s">
        <v>172</v>
      </c>
      <c r="I38" t="s">
        <v>162</v>
      </c>
      <c r="J38" t="s">
        <v>54</v>
      </c>
      <c r="K38" t="s">
        <v>44</v>
      </c>
      <c r="L38" t="s">
        <v>45</v>
      </c>
      <c r="P38" t="s">
        <v>268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18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19.272727272727273</v>
      </c>
      <c r="P39" t="s">
        <v>275</v>
      </c>
      <c r="Q39" s="6">
        <v>39232</v>
      </c>
    </row>
    <row r="40" spans="1:17" x14ac:dyDescent="0.3">
      <c r="P40" t="s">
        <v>288</v>
      </c>
      <c r="Q40" s="6">
        <v>38829</v>
      </c>
    </row>
    <row r="41" spans="1:17" x14ac:dyDescent="0.3">
      <c r="A41" t="s">
        <v>169</v>
      </c>
      <c r="B41" t="s">
        <v>47</v>
      </c>
      <c r="C41" t="s">
        <v>52</v>
      </c>
      <c r="D41" t="s">
        <v>42</v>
      </c>
      <c r="E41" t="s">
        <v>180</v>
      </c>
      <c r="F41" t="s">
        <v>97</v>
      </c>
      <c r="G41" t="s">
        <v>243</v>
      </c>
      <c r="H41" t="s">
        <v>268</v>
      </c>
      <c r="I41" t="s">
        <v>232</v>
      </c>
      <c r="J41" t="s">
        <v>54</v>
      </c>
      <c r="K41" t="s">
        <v>44</v>
      </c>
      <c r="L41" t="s">
        <v>45</v>
      </c>
      <c r="P41" t="s">
        <v>289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292</v>
      </c>
      <c r="Q42" s="6">
        <v>39296</v>
      </c>
    </row>
    <row r="43" spans="1:17" x14ac:dyDescent="0.3">
      <c r="P43" t="s">
        <v>316</v>
      </c>
      <c r="Q43" s="6">
        <v>39596</v>
      </c>
    </row>
    <row r="44" spans="1:17" x14ac:dyDescent="0.3">
      <c r="A44" t="s">
        <v>50</v>
      </c>
      <c r="B44" t="s">
        <v>161</v>
      </c>
      <c r="C44" t="s">
        <v>52</v>
      </c>
      <c r="D44" t="s">
        <v>48</v>
      </c>
      <c r="E44" t="s">
        <v>180</v>
      </c>
      <c r="F44" t="s">
        <v>97</v>
      </c>
      <c r="G44" t="s">
        <v>243</v>
      </c>
      <c r="H44" t="s">
        <v>162</v>
      </c>
      <c r="I44" t="s">
        <v>202</v>
      </c>
      <c r="J44" t="s">
        <v>54</v>
      </c>
      <c r="K44" t="s">
        <v>44</v>
      </c>
      <c r="L44" t="s">
        <v>45</v>
      </c>
      <c r="P44" t="s">
        <v>315</v>
      </c>
      <c r="Q44" s="6">
        <v>39645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161</v>
      </c>
      <c r="C47" t="s">
        <v>52</v>
      </c>
      <c r="D47" t="s">
        <v>48</v>
      </c>
      <c r="E47" t="s">
        <v>180</v>
      </c>
      <c r="F47" t="s">
        <v>97</v>
      </c>
      <c r="G47" t="s">
        <v>243</v>
      </c>
      <c r="H47" t="s">
        <v>162</v>
      </c>
      <c r="I47" t="s">
        <v>202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161</v>
      </c>
      <c r="C50" t="s">
        <v>172</v>
      </c>
      <c r="D50" t="s">
        <v>48</v>
      </c>
      <c r="E50" t="s">
        <v>275</v>
      </c>
      <c r="F50" t="s">
        <v>97</v>
      </c>
      <c r="G50" t="s">
        <v>243</v>
      </c>
      <c r="H50" t="s">
        <v>162</v>
      </c>
      <c r="I50" t="s">
        <v>202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19.363636363636363</v>
      </c>
    </row>
    <row r="53" spans="1:15" x14ac:dyDescent="0.3">
      <c r="A53" t="s">
        <v>41</v>
      </c>
      <c r="B53" t="s">
        <v>161</v>
      </c>
      <c r="C53" t="s">
        <v>180</v>
      </c>
      <c r="D53" t="s">
        <v>48</v>
      </c>
      <c r="E53" t="s">
        <v>275</v>
      </c>
      <c r="F53" t="s">
        <v>288</v>
      </c>
      <c r="G53" t="s">
        <v>289</v>
      </c>
      <c r="H53" t="s">
        <v>232</v>
      </c>
      <c r="I53" t="s">
        <v>202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18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18.90909090909091</v>
      </c>
    </row>
    <row r="56" spans="1:15" x14ac:dyDescent="0.3">
      <c r="A56" t="s">
        <v>163</v>
      </c>
      <c r="B56" t="s">
        <v>161</v>
      </c>
      <c r="C56" t="s">
        <v>180</v>
      </c>
      <c r="D56" t="s">
        <v>52</v>
      </c>
      <c r="E56" t="s">
        <v>275</v>
      </c>
      <c r="F56" t="s">
        <v>288</v>
      </c>
      <c r="G56" t="s">
        <v>289</v>
      </c>
      <c r="H56" t="s">
        <v>292</v>
      </c>
      <c r="I56" t="s">
        <v>202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18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18.545454545454547</v>
      </c>
    </row>
    <row r="59" spans="1:15" x14ac:dyDescent="0.3">
      <c r="A59" t="s">
        <v>60</v>
      </c>
      <c r="B59" t="s">
        <v>161</v>
      </c>
      <c r="C59" t="s">
        <v>180</v>
      </c>
      <c r="D59" t="s">
        <v>52</v>
      </c>
      <c r="E59" t="s">
        <v>275</v>
      </c>
      <c r="F59" t="s">
        <v>288</v>
      </c>
      <c r="G59" t="s">
        <v>289</v>
      </c>
      <c r="H59" t="s">
        <v>292</v>
      </c>
      <c r="I59" t="s">
        <v>202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18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18.545454545454547</v>
      </c>
    </row>
    <row r="62" spans="1:15" x14ac:dyDescent="0.3">
      <c r="A62" t="s">
        <v>46</v>
      </c>
      <c r="B62" t="s">
        <v>161</v>
      </c>
      <c r="C62" t="s">
        <v>180</v>
      </c>
      <c r="D62" t="s">
        <v>52</v>
      </c>
      <c r="E62" t="s">
        <v>275</v>
      </c>
      <c r="F62" t="s">
        <v>288</v>
      </c>
      <c r="G62" t="s">
        <v>289</v>
      </c>
      <c r="H62" t="s">
        <v>232</v>
      </c>
      <c r="I62" t="s">
        <v>202</v>
      </c>
      <c r="J62" t="s">
        <v>162</v>
      </c>
      <c r="K62" t="s">
        <v>44</v>
      </c>
      <c r="L62" t="s">
        <v>45</v>
      </c>
      <c r="O62" s="1"/>
    </row>
    <row r="63" spans="1:15" x14ac:dyDescent="0.3">
      <c r="B63">
        <f ca="1">DATEDIF(VLOOKUP(B62,$P$18:$Q$100,2,FALSE),TODAY(),"Y")</f>
        <v>21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18</v>
      </c>
      <c r="F63">
        <f t="shared" ca="1" si="20"/>
        <v>19</v>
      </c>
      <c r="G63">
        <f t="shared" ca="1" si="20"/>
        <v>18</v>
      </c>
      <c r="H63">
        <f t="shared" ca="1" si="20"/>
        <v>21</v>
      </c>
      <c r="I63">
        <f t="shared" ca="1" si="20"/>
        <v>18</v>
      </c>
      <c r="J63">
        <f t="shared" ca="1" si="20"/>
        <v>19</v>
      </c>
      <c r="K63">
        <f t="shared" ca="1" si="20"/>
        <v>19</v>
      </c>
      <c r="L63">
        <f t="shared" ca="1" si="20"/>
        <v>18</v>
      </c>
      <c r="N63" s="1">
        <f ca="1">AVERAGE(B63:M63)</f>
        <v>18.90909090909091</v>
      </c>
      <c r="O63" s="1"/>
    </row>
    <row r="65" spans="1:14" x14ac:dyDescent="0.3">
      <c r="A65" t="s">
        <v>153</v>
      </c>
      <c r="B65" t="s">
        <v>161</v>
      </c>
      <c r="C65" t="s">
        <v>180</v>
      </c>
      <c r="D65" t="s">
        <v>52</v>
      </c>
      <c r="E65" t="s">
        <v>54</v>
      </c>
      <c r="F65" t="s">
        <v>27</v>
      </c>
      <c r="G65" t="s">
        <v>289</v>
      </c>
      <c r="H65" t="s">
        <v>232</v>
      </c>
      <c r="I65" t="s">
        <v>202</v>
      </c>
      <c r="J65" t="s">
        <v>162</v>
      </c>
      <c r="K65" t="s">
        <v>44</v>
      </c>
      <c r="L65" t="s">
        <v>45</v>
      </c>
    </row>
    <row r="66" spans="1:14" x14ac:dyDescent="0.3">
      <c r="B66">
        <f ca="1">DATEDIF(VLOOKUP(B65,$P$18:$Q$100,2,FALSE),TODAY(),"Y")</f>
        <v>21</v>
      </c>
      <c r="C66">
        <f t="shared" ref="C66:L66" ca="1" si="21">DATEDIF(VLOOKUP(C65,$P$18:$Q$100,2,FALSE),TODAY(),"Y")</f>
        <v>18</v>
      </c>
      <c r="D66">
        <f t="shared" ca="1" si="21"/>
        <v>19</v>
      </c>
      <c r="E66">
        <f t="shared" ca="1" si="21"/>
        <v>18</v>
      </c>
      <c r="F66">
        <f t="shared" ca="1" si="21"/>
        <v>21</v>
      </c>
      <c r="G66">
        <f t="shared" ca="1" si="21"/>
        <v>18</v>
      </c>
      <c r="H66">
        <f t="shared" ca="1" si="21"/>
        <v>21</v>
      </c>
      <c r="I66">
        <f t="shared" ca="1" si="21"/>
        <v>18</v>
      </c>
      <c r="J66">
        <f t="shared" ca="1" si="21"/>
        <v>19</v>
      </c>
      <c r="K66">
        <f t="shared" ca="1" si="21"/>
        <v>19</v>
      </c>
      <c r="L66">
        <f t="shared" ca="1" si="21"/>
        <v>18</v>
      </c>
      <c r="N66" s="1">
        <f ca="1">AVERAGE(B66:M66)</f>
        <v>19.09090909090909</v>
      </c>
    </row>
    <row r="68" spans="1:14" x14ac:dyDescent="0.3">
      <c r="A68" t="s">
        <v>181</v>
      </c>
      <c r="B68" t="s">
        <v>161</v>
      </c>
      <c r="C68" t="s">
        <v>180</v>
      </c>
      <c r="D68" t="s">
        <v>52</v>
      </c>
      <c r="E68" t="s">
        <v>54</v>
      </c>
      <c r="F68" t="s">
        <v>27</v>
      </c>
      <c r="G68" t="s">
        <v>315</v>
      </c>
      <c r="H68" t="s">
        <v>48</v>
      </c>
      <c r="I68" t="s">
        <v>202</v>
      </c>
      <c r="J68" t="s">
        <v>288</v>
      </c>
      <c r="K68" t="s">
        <v>316</v>
      </c>
      <c r="L68" t="s">
        <v>45</v>
      </c>
    </row>
    <row r="69" spans="1:14" x14ac:dyDescent="0.3">
      <c r="B69">
        <f ca="1">DATEDIF(VLOOKUP(B68,$P$18:$Q$100,2,FALSE),TODAY(),"Y")</f>
        <v>21</v>
      </c>
      <c r="C69">
        <f t="shared" ref="C69:L69" ca="1" si="22">DATEDIF(VLOOKUP(C68,$P$18:$Q$100,2,FALSE),TODAY(),"Y")</f>
        <v>18</v>
      </c>
      <c r="D69">
        <f t="shared" ca="1" si="22"/>
        <v>19</v>
      </c>
      <c r="E69">
        <f t="shared" ca="1" si="22"/>
        <v>18</v>
      </c>
      <c r="F69">
        <f t="shared" ca="1" si="22"/>
        <v>21</v>
      </c>
      <c r="G69">
        <f t="shared" ca="1" si="22"/>
        <v>17</v>
      </c>
      <c r="H69">
        <f t="shared" ca="1" si="22"/>
        <v>20</v>
      </c>
      <c r="I69">
        <f t="shared" ca="1" si="22"/>
        <v>18</v>
      </c>
      <c r="J69">
        <f t="shared" ca="1" si="22"/>
        <v>19</v>
      </c>
      <c r="K69">
        <f t="shared" ca="1" si="22"/>
        <v>17</v>
      </c>
      <c r="L69">
        <f t="shared" ca="1" si="22"/>
        <v>18</v>
      </c>
      <c r="N69" s="1">
        <f ca="1">AVERAGE(B69:M69)</f>
        <v>18.727272727272727</v>
      </c>
    </row>
    <row r="71" spans="1:14" x14ac:dyDescent="0.3">
      <c r="A71" t="s">
        <v>231</v>
      </c>
      <c r="B71" t="s">
        <v>161</v>
      </c>
      <c r="C71" t="s">
        <v>180</v>
      </c>
      <c r="D71" t="s">
        <v>52</v>
      </c>
      <c r="E71" t="s">
        <v>54</v>
      </c>
      <c r="F71" t="s">
        <v>268</v>
      </c>
      <c r="G71" t="s">
        <v>289</v>
      </c>
      <c r="H71" t="s">
        <v>162</v>
      </c>
      <c r="I71" t="s">
        <v>44</v>
      </c>
      <c r="J71" t="s">
        <v>288</v>
      </c>
      <c r="K71" t="s">
        <v>232</v>
      </c>
      <c r="L71" t="s">
        <v>42</v>
      </c>
    </row>
    <row r="72" spans="1:14" x14ac:dyDescent="0.3">
      <c r="B72">
        <f ca="1">DATEDIF(VLOOKUP(B71,$P$18:$Q$100,2,FALSE),TODAY(),"Y")</f>
        <v>21</v>
      </c>
      <c r="C72">
        <f t="shared" ref="C72:L72" ca="1" si="23">DATEDIF(VLOOKUP(C71,$P$18:$Q$100,2,FALSE),TODAY(),"Y")</f>
        <v>18</v>
      </c>
      <c r="D72">
        <f t="shared" ca="1" si="23"/>
        <v>19</v>
      </c>
      <c r="E72">
        <f t="shared" ca="1" si="23"/>
        <v>18</v>
      </c>
      <c r="F72">
        <f t="shared" ca="1" si="23"/>
        <v>22</v>
      </c>
      <c r="G72">
        <f t="shared" ca="1" si="23"/>
        <v>18</v>
      </c>
      <c r="H72">
        <f t="shared" ca="1" si="23"/>
        <v>19</v>
      </c>
      <c r="I72">
        <f t="shared" ca="1" si="23"/>
        <v>19</v>
      </c>
      <c r="J72">
        <f t="shared" ca="1" si="23"/>
        <v>19</v>
      </c>
      <c r="K72">
        <f t="shared" ca="1" si="23"/>
        <v>21</v>
      </c>
      <c r="L72">
        <f t="shared" ca="1" si="23"/>
        <v>18</v>
      </c>
      <c r="N72" s="1">
        <f ca="1">AVERAGE(B72:M72)</f>
        <v>19.272727272727273</v>
      </c>
    </row>
    <row r="74" spans="1:14" x14ac:dyDescent="0.3">
      <c r="A74" t="s">
        <v>177</v>
      </c>
      <c r="B74" t="s">
        <v>161</v>
      </c>
      <c r="C74" t="s">
        <v>180</v>
      </c>
      <c r="D74" t="s">
        <v>52</v>
      </c>
      <c r="E74" t="s">
        <v>54</v>
      </c>
      <c r="F74" t="s">
        <v>268</v>
      </c>
      <c r="G74" t="s">
        <v>289</v>
      </c>
      <c r="H74" t="s">
        <v>162</v>
      </c>
      <c r="I74" t="s">
        <v>44</v>
      </c>
      <c r="J74" t="s">
        <v>288</v>
      </c>
      <c r="K74" t="s">
        <v>232</v>
      </c>
      <c r="L74" t="s">
        <v>42</v>
      </c>
    </row>
    <row r="75" spans="1:14" x14ac:dyDescent="0.3">
      <c r="B75">
        <f ca="1">DATEDIF(VLOOKUP(B74,$P$18:$Q$100,2,FALSE),TODAY(),"Y")</f>
        <v>21</v>
      </c>
      <c r="C75">
        <f t="shared" ref="C75:L75" ca="1" si="24">DATEDIF(VLOOKUP(C74,$P$18:$Q$100,2,FALSE),TODAY(),"Y")</f>
        <v>18</v>
      </c>
      <c r="D75">
        <f t="shared" ca="1" si="24"/>
        <v>19</v>
      </c>
      <c r="E75">
        <f t="shared" ca="1" si="24"/>
        <v>18</v>
      </c>
      <c r="F75">
        <f t="shared" ca="1" si="24"/>
        <v>22</v>
      </c>
      <c r="G75">
        <f t="shared" ca="1" si="24"/>
        <v>18</v>
      </c>
      <c r="H75">
        <f t="shared" ca="1" si="24"/>
        <v>19</v>
      </c>
      <c r="I75">
        <f t="shared" ca="1" si="24"/>
        <v>19</v>
      </c>
      <c r="J75">
        <f t="shared" ca="1" si="24"/>
        <v>19</v>
      </c>
      <c r="K75">
        <f t="shared" ca="1" si="24"/>
        <v>21</v>
      </c>
      <c r="L75">
        <f t="shared" ca="1" si="24"/>
        <v>18</v>
      </c>
      <c r="N75" s="1">
        <f ca="1">AVERAGE(B75:M75)</f>
        <v>19.272727272727273</v>
      </c>
    </row>
    <row r="77" spans="1:14" x14ac:dyDescent="0.3">
      <c r="A77" t="s">
        <v>55</v>
      </c>
      <c r="B77" t="s">
        <v>161</v>
      </c>
      <c r="C77" t="s">
        <v>180</v>
      </c>
      <c r="D77" t="s">
        <v>52</v>
      </c>
      <c r="E77" t="s">
        <v>54</v>
      </c>
      <c r="F77" t="s">
        <v>268</v>
      </c>
      <c r="G77" t="s">
        <v>48</v>
      </c>
      <c r="H77" t="s">
        <v>162</v>
      </c>
      <c r="I77" t="s">
        <v>316</v>
      </c>
      <c r="J77" t="s">
        <v>288</v>
      </c>
      <c r="K77" t="s">
        <v>232</v>
      </c>
      <c r="L77" t="s">
        <v>42</v>
      </c>
    </row>
    <row r="78" spans="1:14" x14ac:dyDescent="0.3">
      <c r="B78">
        <f ca="1">DATEDIF(VLOOKUP(B77,$P$18:$Q$100,2,FALSE),TODAY(),"Y")</f>
        <v>21</v>
      </c>
      <c r="C78">
        <f t="shared" ref="C78:L78" ca="1" si="25">DATEDIF(VLOOKUP(C77,$P$18:$Q$100,2,FALSE),TODAY(),"Y")</f>
        <v>18</v>
      </c>
      <c r="D78">
        <f t="shared" ca="1" si="25"/>
        <v>19</v>
      </c>
      <c r="E78">
        <f t="shared" ca="1" si="25"/>
        <v>18</v>
      </c>
      <c r="F78">
        <f t="shared" ca="1" si="25"/>
        <v>22</v>
      </c>
      <c r="G78">
        <f t="shared" ca="1" si="25"/>
        <v>20</v>
      </c>
      <c r="H78">
        <f t="shared" ca="1" si="25"/>
        <v>19</v>
      </c>
      <c r="I78">
        <f t="shared" ca="1" si="25"/>
        <v>17</v>
      </c>
      <c r="J78">
        <f t="shared" ca="1" si="25"/>
        <v>19</v>
      </c>
      <c r="K78">
        <f t="shared" ca="1" si="25"/>
        <v>21</v>
      </c>
      <c r="L78">
        <f t="shared" ca="1" si="25"/>
        <v>18</v>
      </c>
      <c r="N78" s="1">
        <f ca="1">AVERAGE(B78:M78)</f>
        <v>19.272727272727273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5"/>
  <sheetViews>
    <sheetView topLeftCell="A60" workbookViewId="0">
      <selection activeCell="D75" sqref="D75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1" max="11" width="13.33203125" bestFit="1" customWidth="1"/>
    <col min="16" max="16" width="14.21875" customWidth="1"/>
  </cols>
  <sheetData>
    <row r="1" spans="1:14" x14ac:dyDescent="0.3">
      <c r="N1" s="1">
        <f ca="1">AVERAGE(N3:N99)</f>
        <v>19.541818181818183</v>
      </c>
    </row>
    <row r="2" spans="1:14" x14ac:dyDescent="0.3">
      <c r="A2" t="s">
        <v>55</v>
      </c>
      <c r="B2" t="s">
        <v>98</v>
      </c>
      <c r="C2" t="s">
        <v>62</v>
      </c>
      <c r="D2" t="s">
        <v>73</v>
      </c>
      <c r="E2" t="s">
        <v>63</v>
      </c>
      <c r="F2" t="s">
        <v>99</v>
      </c>
      <c r="G2" t="s">
        <v>100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98</v>
      </c>
      <c r="C5" t="s">
        <v>62</v>
      </c>
      <c r="D5" t="s">
        <v>114</v>
      </c>
      <c r="E5" t="s">
        <v>63</v>
      </c>
      <c r="F5" t="s">
        <v>115</v>
      </c>
      <c r="G5" t="s">
        <v>100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98</v>
      </c>
      <c r="C8" t="s">
        <v>62</v>
      </c>
      <c r="D8" t="s">
        <v>114</v>
      </c>
      <c r="E8" t="s">
        <v>63</v>
      </c>
      <c r="F8" t="s">
        <v>115</v>
      </c>
      <c r="G8" t="s">
        <v>100</v>
      </c>
      <c r="H8" t="s">
        <v>58</v>
      </c>
      <c r="I8" t="s">
        <v>146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169</v>
      </c>
      <c r="B11" t="s">
        <v>224</v>
      </c>
      <c r="C11" t="s">
        <v>62</v>
      </c>
      <c r="D11" t="s">
        <v>114</v>
      </c>
      <c r="E11" t="s">
        <v>63</v>
      </c>
      <c r="F11" t="s">
        <v>115</v>
      </c>
      <c r="G11" t="s">
        <v>100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224</v>
      </c>
      <c r="C14" t="s">
        <v>62</v>
      </c>
      <c r="D14" t="s">
        <v>114</v>
      </c>
      <c r="E14" t="s">
        <v>63</v>
      </c>
      <c r="F14" t="s">
        <v>115</v>
      </c>
      <c r="G14" t="s">
        <v>100</v>
      </c>
      <c r="H14" t="s">
        <v>58</v>
      </c>
      <c r="I14" t="s">
        <v>72</v>
      </c>
      <c r="J14" t="s">
        <v>59</v>
      </c>
      <c r="K14" t="s">
        <v>146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203</v>
      </c>
      <c r="B17" t="s">
        <v>224</v>
      </c>
      <c r="C17" t="s">
        <v>62</v>
      </c>
      <c r="D17" t="s">
        <v>114</v>
      </c>
      <c r="E17" t="s">
        <v>204</v>
      </c>
      <c r="F17" t="s">
        <v>205</v>
      </c>
      <c r="G17" t="s">
        <v>100</v>
      </c>
      <c r="H17" t="s">
        <v>58</v>
      </c>
      <c r="I17" t="s">
        <v>72</v>
      </c>
      <c r="J17" t="s">
        <v>59</v>
      </c>
      <c r="K17" t="s">
        <v>206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98</v>
      </c>
      <c r="Q18" s="6">
        <v>39078</v>
      </c>
      <c r="T18">
        <v>32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177</v>
      </c>
      <c r="B20" t="s">
        <v>212</v>
      </c>
      <c r="C20" t="s">
        <v>213</v>
      </c>
      <c r="D20" t="s">
        <v>114</v>
      </c>
      <c r="E20" t="s">
        <v>214</v>
      </c>
      <c r="F20" t="s">
        <v>215</v>
      </c>
      <c r="G20" t="s">
        <v>100</v>
      </c>
      <c r="H20" t="s">
        <v>146</v>
      </c>
      <c r="I20" t="s">
        <v>72</v>
      </c>
      <c r="J20" t="s">
        <v>59</v>
      </c>
      <c r="K20" t="s">
        <v>216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19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20</v>
      </c>
      <c r="L21">
        <f t="shared" ca="1" si="6"/>
        <v>20</v>
      </c>
      <c r="N21" s="1">
        <f ca="1">AVERAGE(B21:M21)</f>
        <v>19.545454545454547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223</v>
      </c>
      <c r="B23" t="s">
        <v>224</v>
      </c>
      <c r="C23" t="s">
        <v>204</v>
      </c>
      <c r="D23" t="s">
        <v>114</v>
      </c>
      <c r="E23" t="s">
        <v>62</v>
      </c>
      <c r="F23" t="s">
        <v>215</v>
      </c>
      <c r="G23" t="s">
        <v>100</v>
      </c>
      <c r="H23" t="s">
        <v>146</v>
      </c>
      <c r="I23" t="s">
        <v>72</v>
      </c>
      <c r="J23" t="s">
        <v>59</v>
      </c>
      <c r="K23" t="s">
        <v>216</v>
      </c>
      <c r="L23" t="s">
        <v>61</v>
      </c>
      <c r="N23" s="1"/>
      <c r="P23" t="s">
        <v>100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20</v>
      </c>
      <c r="L24">
        <f t="shared" ca="1" si="7"/>
        <v>20</v>
      </c>
      <c r="N24" s="1">
        <f ca="1">AVERAGE(B24:M24)</f>
        <v>19.545454545454547</v>
      </c>
      <c r="P24" t="s">
        <v>99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98</v>
      </c>
      <c r="C26" t="s">
        <v>99</v>
      </c>
      <c r="D26" t="s">
        <v>114</v>
      </c>
      <c r="E26" t="s">
        <v>58</v>
      </c>
      <c r="F26" t="s">
        <v>213</v>
      </c>
      <c r="G26" t="s">
        <v>100</v>
      </c>
      <c r="H26" t="s">
        <v>146</v>
      </c>
      <c r="I26" t="s">
        <v>72</v>
      </c>
      <c r="J26" t="s">
        <v>59</v>
      </c>
      <c r="K26" t="s">
        <v>216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20</v>
      </c>
      <c r="L27">
        <f t="shared" ca="1" si="8"/>
        <v>20</v>
      </c>
      <c r="N27" s="1">
        <f ca="1">AVERAGE(B27:M27)</f>
        <v>19.545454545454547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181</v>
      </c>
      <c r="B29" t="s">
        <v>224</v>
      </c>
      <c r="C29" t="s">
        <v>99</v>
      </c>
      <c r="D29" t="s">
        <v>114</v>
      </c>
      <c r="E29" t="s">
        <v>58</v>
      </c>
      <c r="F29" t="s">
        <v>64</v>
      </c>
      <c r="G29" t="s">
        <v>100</v>
      </c>
      <c r="H29" t="s">
        <v>146</v>
      </c>
      <c r="I29" t="s">
        <v>205</v>
      </c>
      <c r="J29" t="s">
        <v>59</v>
      </c>
      <c r="K29" t="s">
        <v>216</v>
      </c>
      <c r="L29" t="s">
        <v>61</v>
      </c>
      <c r="N29" s="1"/>
      <c r="P29" t="s">
        <v>114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20</v>
      </c>
      <c r="L30">
        <f t="shared" ca="1" si="9"/>
        <v>20</v>
      </c>
      <c r="N30" s="1">
        <f ca="1">AVERAGE(B30:M30)</f>
        <v>19.545454545454547</v>
      </c>
      <c r="P30" t="s">
        <v>115</v>
      </c>
      <c r="Q30" s="6">
        <v>39117</v>
      </c>
    </row>
    <row r="31" spans="1:20" x14ac:dyDescent="0.3">
      <c r="P31" t="s">
        <v>146</v>
      </c>
      <c r="Q31" s="6">
        <v>39109</v>
      </c>
    </row>
    <row r="32" spans="1:20" x14ac:dyDescent="0.3">
      <c r="A32" t="s">
        <v>60</v>
      </c>
      <c r="B32" t="s">
        <v>224</v>
      </c>
      <c r="C32" t="s">
        <v>213</v>
      </c>
      <c r="D32" t="s">
        <v>114</v>
      </c>
      <c r="E32" t="s">
        <v>58</v>
      </c>
      <c r="F32" t="s">
        <v>64</v>
      </c>
      <c r="G32" t="s">
        <v>100</v>
      </c>
      <c r="H32" t="s">
        <v>146</v>
      </c>
      <c r="I32" t="s">
        <v>246</v>
      </c>
      <c r="J32" t="s">
        <v>59</v>
      </c>
      <c r="K32" t="s">
        <v>216</v>
      </c>
      <c r="L32" t="s">
        <v>62</v>
      </c>
      <c r="N32" s="1"/>
      <c r="P32" t="s">
        <v>224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20</v>
      </c>
      <c r="L33">
        <f t="shared" ca="1" si="10"/>
        <v>20</v>
      </c>
      <c r="N33" s="1">
        <f ca="1">AVERAGE(B33:M33)</f>
        <v>19.454545454545453</v>
      </c>
      <c r="P33" t="s">
        <v>205</v>
      </c>
      <c r="Q33" s="6">
        <v>38853</v>
      </c>
    </row>
    <row r="34" spans="1:17" x14ac:dyDescent="0.3">
      <c r="P34" t="s">
        <v>206</v>
      </c>
      <c r="Q34" s="6">
        <v>38666</v>
      </c>
    </row>
    <row r="35" spans="1:17" x14ac:dyDescent="0.3">
      <c r="A35" t="s">
        <v>41</v>
      </c>
      <c r="B35" t="s">
        <v>98</v>
      </c>
      <c r="C35" t="s">
        <v>214</v>
      </c>
      <c r="D35" t="s">
        <v>114</v>
      </c>
      <c r="E35" t="s">
        <v>58</v>
      </c>
      <c r="F35" t="s">
        <v>64</v>
      </c>
      <c r="G35" t="s">
        <v>215</v>
      </c>
      <c r="H35" t="s">
        <v>146</v>
      </c>
      <c r="I35" t="s">
        <v>246</v>
      </c>
      <c r="J35" t="s">
        <v>59</v>
      </c>
      <c r="K35" t="s">
        <v>216</v>
      </c>
      <c r="L35" t="s">
        <v>62</v>
      </c>
      <c r="N35" s="1"/>
      <c r="P35" t="s">
        <v>204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20</v>
      </c>
      <c r="L36">
        <f t="shared" ca="1" si="11"/>
        <v>20</v>
      </c>
      <c r="N36" s="1">
        <f ca="1">AVERAGE(B36:M36)</f>
        <v>19.636363636363637</v>
      </c>
      <c r="P36" t="s">
        <v>212</v>
      </c>
      <c r="Q36" s="6">
        <v>38977</v>
      </c>
    </row>
    <row r="37" spans="1:17" x14ac:dyDescent="0.3">
      <c r="P37" t="s">
        <v>216</v>
      </c>
      <c r="Q37" s="6">
        <v>38815</v>
      </c>
    </row>
    <row r="38" spans="1:17" x14ac:dyDescent="0.3">
      <c r="A38" t="s">
        <v>231</v>
      </c>
      <c r="B38" t="s">
        <v>98</v>
      </c>
      <c r="C38" t="s">
        <v>214</v>
      </c>
      <c r="D38" t="s">
        <v>114</v>
      </c>
      <c r="E38" t="s">
        <v>58</v>
      </c>
      <c r="F38" t="s">
        <v>64</v>
      </c>
      <c r="G38" t="s">
        <v>215</v>
      </c>
      <c r="H38" t="s">
        <v>258</v>
      </c>
      <c r="I38" t="s">
        <v>246</v>
      </c>
      <c r="J38" t="s">
        <v>59</v>
      </c>
      <c r="K38" t="s">
        <v>216</v>
      </c>
      <c r="L38" t="s">
        <v>62</v>
      </c>
      <c r="N38" s="1"/>
      <c r="P38" t="s">
        <v>215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19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20</v>
      </c>
      <c r="L39">
        <f t="shared" ca="1" si="12"/>
        <v>20</v>
      </c>
      <c r="N39" s="1">
        <f ca="1">AVERAGE(B39:M39)</f>
        <v>19.727272727272727</v>
      </c>
      <c r="P39" t="s">
        <v>213</v>
      </c>
      <c r="Q39" s="6">
        <v>39115</v>
      </c>
    </row>
    <row r="40" spans="1:17" x14ac:dyDescent="0.3">
      <c r="P40" t="s">
        <v>214</v>
      </c>
      <c r="Q40" s="6">
        <v>39179</v>
      </c>
    </row>
    <row r="41" spans="1:17" x14ac:dyDescent="0.3">
      <c r="A41" t="s">
        <v>153</v>
      </c>
      <c r="B41" t="s">
        <v>98</v>
      </c>
      <c r="C41" t="s">
        <v>214</v>
      </c>
      <c r="D41" t="s">
        <v>213</v>
      </c>
      <c r="E41" t="s">
        <v>58</v>
      </c>
      <c r="F41" t="s">
        <v>64</v>
      </c>
      <c r="G41" t="s">
        <v>215</v>
      </c>
      <c r="H41" t="s">
        <v>269</v>
      </c>
      <c r="I41" t="s">
        <v>246</v>
      </c>
      <c r="J41" t="s">
        <v>146</v>
      </c>
      <c r="K41" t="s">
        <v>216</v>
      </c>
      <c r="L41" t="s">
        <v>62</v>
      </c>
      <c r="N41" s="1"/>
      <c r="P41" t="s">
        <v>246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19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20</v>
      </c>
      <c r="L42">
        <f t="shared" ca="1" si="13"/>
        <v>20</v>
      </c>
      <c r="N42" s="1">
        <f ca="1">AVERAGE(B42:M42)</f>
        <v>19.454545454545453</v>
      </c>
      <c r="P42" t="s">
        <v>258</v>
      </c>
      <c r="Q42" s="6">
        <v>38581</v>
      </c>
    </row>
    <row r="43" spans="1:17" x14ac:dyDescent="0.3">
      <c r="P43" t="s">
        <v>269</v>
      </c>
      <c r="Q43" s="6">
        <v>38932</v>
      </c>
    </row>
    <row r="44" spans="1:17" x14ac:dyDescent="0.3">
      <c r="A44" t="s">
        <v>109</v>
      </c>
      <c r="B44" t="s">
        <v>98</v>
      </c>
      <c r="C44" t="s">
        <v>214</v>
      </c>
      <c r="D44" t="s">
        <v>213</v>
      </c>
      <c r="E44" t="s">
        <v>58</v>
      </c>
      <c r="F44" t="s">
        <v>64</v>
      </c>
      <c r="G44" t="s">
        <v>114</v>
      </c>
      <c r="H44" t="s">
        <v>258</v>
      </c>
      <c r="I44" t="s">
        <v>61</v>
      </c>
      <c r="J44" t="s">
        <v>273</v>
      </c>
      <c r="K44" t="s">
        <v>216</v>
      </c>
      <c r="L44" t="s">
        <v>62</v>
      </c>
      <c r="N44" s="1"/>
      <c r="P44" t="s">
        <v>273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19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20</v>
      </c>
      <c r="L45">
        <f t="shared" ca="1" si="14"/>
        <v>20</v>
      </c>
      <c r="N45" s="1">
        <f ca="1">AVERAGE(B45:M45)</f>
        <v>19.818181818181817</v>
      </c>
      <c r="P45" t="s">
        <v>274</v>
      </c>
      <c r="Q45" s="6">
        <v>39186</v>
      </c>
    </row>
    <row r="46" spans="1:17" x14ac:dyDescent="0.3">
      <c r="P46" t="s">
        <v>290</v>
      </c>
      <c r="Q46" s="6">
        <v>39198</v>
      </c>
    </row>
    <row r="47" spans="1:17" x14ac:dyDescent="0.3">
      <c r="A47" t="s">
        <v>55</v>
      </c>
      <c r="B47" t="s">
        <v>224</v>
      </c>
      <c r="C47" t="s">
        <v>214</v>
      </c>
      <c r="D47" t="s">
        <v>215</v>
      </c>
      <c r="E47" t="s">
        <v>58</v>
      </c>
      <c r="F47" t="s">
        <v>64</v>
      </c>
      <c r="G47" t="s">
        <v>114</v>
      </c>
      <c r="H47" t="s">
        <v>146</v>
      </c>
      <c r="I47" t="s">
        <v>61</v>
      </c>
      <c r="J47" t="s">
        <v>59</v>
      </c>
      <c r="K47" t="s">
        <v>216</v>
      </c>
      <c r="L47" t="s">
        <v>62</v>
      </c>
      <c r="N47" s="1"/>
      <c r="P47" t="s">
        <v>295</v>
      </c>
      <c r="Q47" s="6">
        <v>39132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19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20</v>
      </c>
      <c r="L48">
        <f t="shared" ca="1" si="15"/>
        <v>20</v>
      </c>
      <c r="N48" s="1">
        <f ca="1">AVERAGE(B48:L48)</f>
        <v>19.636363636363637</v>
      </c>
      <c r="P48" t="s">
        <v>298</v>
      </c>
      <c r="Q48" s="6">
        <v>38070</v>
      </c>
    </row>
    <row r="49" spans="1:17" x14ac:dyDescent="0.3">
      <c r="P49" t="s">
        <v>299</v>
      </c>
      <c r="Q49" s="6">
        <v>38454</v>
      </c>
    </row>
    <row r="50" spans="1:17" x14ac:dyDescent="0.3">
      <c r="A50" t="s">
        <v>49</v>
      </c>
      <c r="B50" t="s">
        <v>98</v>
      </c>
      <c r="C50" t="s">
        <v>214</v>
      </c>
      <c r="D50" t="s">
        <v>258</v>
      </c>
      <c r="E50" t="s">
        <v>58</v>
      </c>
      <c r="F50" t="s">
        <v>64</v>
      </c>
      <c r="G50" t="s">
        <v>114</v>
      </c>
      <c r="H50" t="s">
        <v>213</v>
      </c>
      <c r="I50" t="s">
        <v>61</v>
      </c>
      <c r="J50" t="s">
        <v>274</v>
      </c>
      <c r="K50" t="s">
        <v>216</v>
      </c>
      <c r="L50" t="s">
        <v>62</v>
      </c>
      <c r="N50" s="1"/>
    </row>
    <row r="51" spans="1:17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19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19</v>
      </c>
      <c r="K51">
        <f t="shared" ca="1" si="16"/>
        <v>20</v>
      </c>
      <c r="L51">
        <f t="shared" ca="1" si="16"/>
        <v>20</v>
      </c>
      <c r="N51" s="1">
        <f ca="1">AVERAGE(B51:L51)</f>
        <v>19.636363636363637</v>
      </c>
    </row>
    <row r="53" spans="1:17" x14ac:dyDescent="0.3">
      <c r="A53" t="s">
        <v>169</v>
      </c>
      <c r="B53" t="s">
        <v>224</v>
      </c>
      <c r="C53" t="s">
        <v>214</v>
      </c>
      <c r="D53" t="s">
        <v>73</v>
      </c>
      <c r="E53" t="s">
        <v>58</v>
      </c>
      <c r="F53" t="s">
        <v>64</v>
      </c>
      <c r="G53" t="s">
        <v>290</v>
      </c>
      <c r="H53" t="s">
        <v>100</v>
      </c>
      <c r="I53" t="s">
        <v>273</v>
      </c>
      <c r="J53" t="s">
        <v>146</v>
      </c>
      <c r="K53" t="s">
        <v>216</v>
      </c>
      <c r="L53" t="s">
        <v>204</v>
      </c>
      <c r="N53" s="1"/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19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21</v>
      </c>
      <c r="J54">
        <f t="shared" ca="1" si="17"/>
        <v>19</v>
      </c>
      <c r="K54">
        <f t="shared" ca="1" si="17"/>
        <v>20</v>
      </c>
      <c r="L54">
        <f t="shared" ca="1" si="17"/>
        <v>19</v>
      </c>
      <c r="N54" s="1">
        <f ca="1">AVERAGE(B54:L54)</f>
        <v>19.181818181818183</v>
      </c>
    </row>
    <row r="56" spans="1:17" x14ac:dyDescent="0.3">
      <c r="A56" t="s">
        <v>53</v>
      </c>
      <c r="B56" t="s">
        <v>224</v>
      </c>
      <c r="C56" t="s">
        <v>214</v>
      </c>
      <c r="D56" t="s">
        <v>63</v>
      </c>
      <c r="E56" t="s">
        <v>58</v>
      </c>
      <c r="F56" t="s">
        <v>64</v>
      </c>
      <c r="G56" t="s">
        <v>290</v>
      </c>
      <c r="H56" t="s">
        <v>62</v>
      </c>
      <c r="I56" t="s">
        <v>273</v>
      </c>
      <c r="J56" t="s">
        <v>146</v>
      </c>
      <c r="K56" t="s">
        <v>295</v>
      </c>
      <c r="L56" t="s">
        <v>61</v>
      </c>
      <c r="N56" s="1"/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19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18</v>
      </c>
      <c r="H57">
        <f t="shared" ca="1" si="18"/>
        <v>20</v>
      </c>
      <c r="I57">
        <f t="shared" ca="1" si="18"/>
        <v>21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19.454545454545453</v>
      </c>
    </row>
    <row r="59" spans="1:17" x14ac:dyDescent="0.3">
      <c r="A59" t="s">
        <v>50</v>
      </c>
      <c r="B59" t="s">
        <v>212</v>
      </c>
      <c r="C59" t="s">
        <v>214</v>
      </c>
      <c r="D59" t="s">
        <v>213</v>
      </c>
      <c r="E59" t="s">
        <v>100</v>
      </c>
      <c r="F59" t="s">
        <v>72</v>
      </c>
      <c r="G59" t="s">
        <v>216</v>
      </c>
      <c r="H59" t="s">
        <v>62</v>
      </c>
      <c r="I59" t="s">
        <v>273</v>
      </c>
      <c r="J59" t="s">
        <v>298</v>
      </c>
      <c r="K59" t="s">
        <v>204</v>
      </c>
      <c r="L59" t="s">
        <v>61</v>
      </c>
      <c r="N59" s="1"/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19</v>
      </c>
      <c r="D60">
        <f t="shared" ca="1" si="19"/>
        <v>19</v>
      </c>
      <c r="E60">
        <f t="shared" ca="1" si="19"/>
        <v>20</v>
      </c>
      <c r="F60">
        <f t="shared" ca="1" si="19"/>
        <v>18</v>
      </c>
      <c r="G60">
        <f t="shared" ca="1" si="19"/>
        <v>20</v>
      </c>
      <c r="H60">
        <f t="shared" ca="1" si="19"/>
        <v>20</v>
      </c>
      <c r="I60">
        <f t="shared" ca="1" si="19"/>
        <v>21</v>
      </c>
      <c r="J60">
        <f t="shared" ca="1" si="19"/>
        <v>22</v>
      </c>
      <c r="K60">
        <f t="shared" ca="1" si="19"/>
        <v>19</v>
      </c>
      <c r="L60">
        <f t="shared" ca="1" si="19"/>
        <v>20</v>
      </c>
      <c r="N60" s="1">
        <f ca="1">AVERAGE(B60:L60)</f>
        <v>19.727272727272727</v>
      </c>
    </row>
    <row r="62" spans="1:17" x14ac:dyDescent="0.3">
      <c r="A62" t="s">
        <v>163</v>
      </c>
      <c r="B62" t="s">
        <v>224</v>
      </c>
      <c r="C62" t="s">
        <v>214</v>
      </c>
      <c r="D62" t="s">
        <v>213</v>
      </c>
      <c r="E62" t="s">
        <v>100</v>
      </c>
      <c r="F62" t="s">
        <v>290</v>
      </c>
      <c r="G62" t="s">
        <v>216</v>
      </c>
      <c r="H62" t="s">
        <v>299</v>
      </c>
      <c r="I62" t="s">
        <v>64</v>
      </c>
      <c r="J62" t="s">
        <v>298</v>
      </c>
      <c r="K62" t="s">
        <v>204</v>
      </c>
      <c r="L62" t="s">
        <v>61</v>
      </c>
      <c r="N62" s="1"/>
    </row>
    <row r="63" spans="1:17" x14ac:dyDescent="0.3">
      <c r="B63">
        <f ca="1">DATEDIF(VLOOKUP(B62,$P$18:$Q$100,2,FALSE),TODAY(),"Y")</f>
        <v>18</v>
      </c>
      <c r="C63">
        <f t="shared" ref="C63:L63" ca="1" si="20">DATEDIF(VLOOKUP(C62,$P$18:$Q$100,2,FALSE),TODAY(),"Y")</f>
        <v>19</v>
      </c>
      <c r="D63">
        <f t="shared" ca="1" si="20"/>
        <v>19</v>
      </c>
      <c r="E63">
        <f t="shared" ca="1" si="20"/>
        <v>20</v>
      </c>
      <c r="F63">
        <f t="shared" ca="1" si="20"/>
        <v>18</v>
      </c>
      <c r="G63">
        <f t="shared" ca="1" si="20"/>
        <v>20</v>
      </c>
      <c r="H63">
        <f t="shared" ca="1" si="20"/>
        <v>21</v>
      </c>
      <c r="I63">
        <f t="shared" ca="1" si="20"/>
        <v>19</v>
      </c>
      <c r="J63">
        <f t="shared" ca="1" si="20"/>
        <v>22</v>
      </c>
      <c r="K63">
        <f t="shared" ca="1" si="20"/>
        <v>19</v>
      </c>
      <c r="L63">
        <f t="shared" ca="1" si="20"/>
        <v>20</v>
      </c>
      <c r="N63" s="1">
        <f ca="1">AVERAGE(B63:L63)</f>
        <v>19.545454545454547</v>
      </c>
    </row>
    <row r="65" spans="1:14" x14ac:dyDescent="0.3">
      <c r="A65" t="s">
        <v>177</v>
      </c>
      <c r="B65" t="s">
        <v>224</v>
      </c>
      <c r="C65" t="s">
        <v>214</v>
      </c>
      <c r="D65" t="s">
        <v>213</v>
      </c>
      <c r="E65" t="s">
        <v>100</v>
      </c>
      <c r="F65" t="s">
        <v>290</v>
      </c>
      <c r="G65" t="s">
        <v>216</v>
      </c>
      <c r="H65" t="s">
        <v>62</v>
      </c>
      <c r="I65" t="s">
        <v>64</v>
      </c>
      <c r="J65" t="s">
        <v>146</v>
      </c>
      <c r="K65" t="s">
        <v>273</v>
      </c>
      <c r="L65" t="s">
        <v>61</v>
      </c>
      <c r="N65" s="1"/>
    </row>
    <row r="66" spans="1:14" x14ac:dyDescent="0.3">
      <c r="B66">
        <f ca="1">DATEDIF(VLOOKUP(B65,$P$18:$Q$100,2,FALSE),TODAY(),"Y")</f>
        <v>18</v>
      </c>
      <c r="C66">
        <f t="shared" ref="C66:L66" ca="1" si="21">DATEDIF(VLOOKUP(C65,$P$18:$Q$100,2,FALSE),TODAY(),"Y")</f>
        <v>19</v>
      </c>
      <c r="D66">
        <f t="shared" ca="1" si="21"/>
        <v>19</v>
      </c>
      <c r="E66">
        <f t="shared" ca="1" si="21"/>
        <v>20</v>
      </c>
      <c r="F66">
        <f t="shared" ca="1" si="21"/>
        <v>18</v>
      </c>
      <c r="G66">
        <f t="shared" ca="1" si="21"/>
        <v>20</v>
      </c>
      <c r="H66">
        <f t="shared" ca="1" si="21"/>
        <v>20</v>
      </c>
      <c r="I66">
        <f t="shared" ca="1" si="21"/>
        <v>19</v>
      </c>
      <c r="J66">
        <f t="shared" ca="1" si="21"/>
        <v>19</v>
      </c>
      <c r="K66">
        <f t="shared" ca="1" si="21"/>
        <v>21</v>
      </c>
      <c r="L66">
        <f t="shared" ca="1" si="21"/>
        <v>20</v>
      </c>
      <c r="N66" s="1">
        <f ca="1">AVERAGE(B66:L66)</f>
        <v>19.363636363636363</v>
      </c>
    </row>
    <row r="68" spans="1:14" x14ac:dyDescent="0.3">
      <c r="A68" t="s">
        <v>46</v>
      </c>
      <c r="B68" t="s">
        <v>212</v>
      </c>
      <c r="C68" t="s">
        <v>214</v>
      </c>
      <c r="D68" t="s">
        <v>246</v>
      </c>
      <c r="E68" t="s">
        <v>100</v>
      </c>
      <c r="F68" t="s">
        <v>290</v>
      </c>
      <c r="G68" t="s">
        <v>63</v>
      </c>
      <c r="H68" t="s">
        <v>62</v>
      </c>
      <c r="I68" t="s">
        <v>59</v>
      </c>
      <c r="J68" t="s">
        <v>206</v>
      </c>
      <c r="K68" t="s">
        <v>273</v>
      </c>
      <c r="L68" t="s">
        <v>61</v>
      </c>
      <c r="N68" s="1"/>
    </row>
    <row r="69" spans="1:14" x14ac:dyDescent="0.3">
      <c r="B69">
        <f ca="1">DATEDIF(VLOOKUP(B68,$P$18:$Q$100,2,FALSE),TODAY(),"Y")</f>
        <v>19</v>
      </c>
      <c r="C69">
        <f t="shared" ref="C69:L69" ca="1" si="22">DATEDIF(VLOOKUP(C68,$P$18:$Q$100,2,FALSE),TODAY(),"Y")</f>
        <v>19</v>
      </c>
      <c r="D69">
        <f t="shared" ca="1" si="22"/>
        <v>19</v>
      </c>
      <c r="E69">
        <f t="shared" ca="1" si="22"/>
        <v>20</v>
      </c>
      <c r="F69">
        <f t="shared" ca="1" si="22"/>
        <v>18</v>
      </c>
      <c r="G69">
        <f t="shared" ca="1" si="22"/>
        <v>21</v>
      </c>
      <c r="H69">
        <f t="shared" ca="1" si="22"/>
        <v>20</v>
      </c>
      <c r="I69">
        <f t="shared" ca="1" si="22"/>
        <v>19</v>
      </c>
      <c r="J69">
        <f t="shared" ca="1" si="22"/>
        <v>20</v>
      </c>
      <c r="K69">
        <f t="shared" ca="1" si="22"/>
        <v>21</v>
      </c>
      <c r="L69">
        <f t="shared" ca="1" si="22"/>
        <v>20</v>
      </c>
      <c r="N69" s="1">
        <f ca="1">AVERAGE(B69:L69)</f>
        <v>19.636363636363637</v>
      </c>
    </row>
    <row r="71" spans="1:14" x14ac:dyDescent="0.3">
      <c r="A71" t="s">
        <v>181</v>
      </c>
      <c r="B71" t="s">
        <v>224</v>
      </c>
      <c r="C71" t="s">
        <v>213</v>
      </c>
      <c r="D71" t="s">
        <v>246</v>
      </c>
      <c r="E71" t="s">
        <v>100</v>
      </c>
      <c r="F71" t="s">
        <v>290</v>
      </c>
      <c r="G71" t="s">
        <v>72</v>
      </c>
      <c r="H71" t="s">
        <v>62</v>
      </c>
      <c r="I71" t="s">
        <v>146</v>
      </c>
      <c r="J71" t="s">
        <v>206</v>
      </c>
      <c r="K71" t="s">
        <v>273</v>
      </c>
      <c r="L71" t="s">
        <v>61</v>
      </c>
      <c r="N71" s="1"/>
    </row>
    <row r="72" spans="1:14" x14ac:dyDescent="0.3">
      <c r="B72">
        <f ca="1">DATEDIF(VLOOKUP(B71,$P$18:$Q$100,2,FALSE),TODAY(),"Y")</f>
        <v>18</v>
      </c>
      <c r="C72">
        <f t="shared" ref="C72:L72" ca="1" si="23">DATEDIF(VLOOKUP(C71,$P$18:$Q$100,2,FALSE),TODAY(),"Y")</f>
        <v>19</v>
      </c>
      <c r="D72">
        <f t="shared" ca="1" si="23"/>
        <v>19</v>
      </c>
      <c r="E72">
        <f t="shared" ca="1" si="23"/>
        <v>20</v>
      </c>
      <c r="F72">
        <f t="shared" ca="1" si="23"/>
        <v>18</v>
      </c>
      <c r="G72">
        <f t="shared" ca="1" si="23"/>
        <v>18</v>
      </c>
      <c r="H72">
        <f t="shared" ca="1" si="23"/>
        <v>20</v>
      </c>
      <c r="I72">
        <f t="shared" ca="1" si="23"/>
        <v>19</v>
      </c>
      <c r="J72">
        <f t="shared" ca="1" si="23"/>
        <v>20</v>
      </c>
      <c r="K72">
        <f t="shared" ca="1" si="23"/>
        <v>21</v>
      </c>
      <c r="L72">
        <f t="shared" ca="1" si="23"/>
        <v>20</v>
      </c>
      <c r="N72" s="1">
        <f ca="1">AVERAGE(B72:L72)</f>
        <v>19.272727272727273</v>
      </c>
    </row>
    <row r="74" spans="1:14" x14ac:dyDescent="0.3">
      <c r="A74" t="s">
        <v>60</v>
      </c>
      <c r="B74" t="s">
        <v>224</v>
      </c>
      <c r="C74" t="s">
        <v>213</v>
      </c>
      <c r="D74" t="s">
        <v>64</v>
      </c>
      <c r="E74" t="s">
        <v>100</v>
      </c>
      <c r="F74" t="s">
        <v>290</v>
      </c>
      <c r="G74" t="s">
        <v>72</v>
      </c>
      <c r="H74" t="s">
        <v>62</v>
      </c>
      <c r="I74" t="s">
        <v>299</v>
      </c>
      <c r="J74" t="s">
        <v>206</v>
      </c>
      <c r="K74" t="s">
        <v>273</v>
      </c>
      <c r="L74" t="s">
        <v>61</v>
      </c>
      <c r="N74" s="1"/>
    </row>
    <row r="75" spans="1:14" x14ac:dyDescent="0.3">
      <c r="B75">
        <f ca="1">DATEDIF(VLOOKUP(B74,$P$18:$Q$100,2,FALSE),TODAY(),"Y")</f>
        <v>18</v>
      </c>
      <c r="C75">
        <f t="shared" ref="C75:L75" ca="1" si="24">DATEDIF(VLOOKUP(C74,$P$18:$Q$100,2,FALSE),TODAY(),"Y")</f>
        <v>19</v>
      </c>
      <c r="D75">
        <f t="shared" ca="1" si="24"/>
        <v>19</v>
      </c>
      <c r="E75">
        <f t="shared" ca="1" si="24"/>
        <v>20</v>
      </c>
      <c r="F75">
        <f t="shared" ca="1" si="24"/>
        <v>18</v>
      </c>
      <c r="G75">
        <f t="shared" ca="1" si="24"/>
        <v>18</v>
      </c>
      <c r="H75">
        <f t="shared" ca="1" si="24"/>
        <v>20</v>
      </c>
      <c r="I75">
        <f t="shared" ca="1" si="24"/>
        <v>21</v>
      </c>
      <c r="J75">
        <f t="shared" ca="1" si="24"/>
        <v>20</v>
      </c>
      <c r="K75">
        <f t="shared" ca="1" si="24"/>
        <v>21</v>
      </c>
      <c r="L75">
        <f t="shared" ca="1" si="24"/>
        <v>20</v>
      </c>
      <c r="N75" s="1">
        <f ca="1">AVERAGE(B75:L75)</f>
        <v>19.454545454545453</v>
      </c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64" workbookViewId="0">
      <selection activeCell="E78" sqref="E78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20.832167832167833</v>
      </c>
    </row>
    <row r="2" spans="1:14" x14ac:dyDescent="0.3">
      <c r="A2" t="s">
        <v>46</v>
      </c>
      <c r="B2" t="s">
        <v>67</v>
      </c>
      <c r="C2" t="s">
        <v>66</v>
      </c>
      <c r="D2" t="s">
        <v>101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223</v>
      </c>
      <c r="B5" t="s">
        <v>116</v>
      </c>
      <c r="C5" t="s">
        <v>66</v>
      </c>
      <c r="D5" t="s">
        <v>101</v>
      </c>
      <c r="E5" t="s">
        <v>117</v>
      </c>
      <c r="F5" t="s">
        <v>69</v>
      </c>
      <c r="G5" t="s">
        <v>57</v>
      </c>
      <c r="H5" t="s">
        <v>76</v>
      </c>
      <c r="I5" t="s">
        <v>65</v>
      </c>
      <c r="J5" t="s">
        <v>118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20.545454545454547</v>
      </c>
    </row>
    <row r="8" spans="1:14" x14ac:dyDescent="0.3">
      <c r="A8" t="s">
        <v>51</v>
      </c>
      <c r="B8" t="s">
        <v>116</v>
      </c>
      <c r="C8" t="s">
        <v>66</v>
      </c>
      <c r="D8" t="s">
        <v>101</v>
      </c>
      <c r="E8" t="s">
        <v>18</v>
      </c>
      <c r="F8" t="s">
        <v>147</v>
      </c>
      <c r="G8" t="s">
        <v>57</v>
      </c>
      <c r="H8" t="s">
        <v>76</v>
      </c>
      <c r="I8" t="s">
        <v>65</v>
      </c>
      <c r="J8" t="s">
        <v>148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20.363636363636363</v>
      </c>
    </row>
    <row r="11" spans="1:14" x14ac:dyDescent="0.3">
      <c r="A11" t="s">
        <v>50</v>
      </c>
      <c r="B11" t="s">
        <v>116</v>
      </c>
      <c r="C11" t="s">
        <v>66</v>
      </c>
      <c r="D11" t="s">
        <v>101</v>
      </c>
      <c r="E11" t="s">
        <v>18</v>
      </c>
      <c r="F11" t="s">
        <v>68</v>
      </c>
      <c r="G11" t="s">
        <v>57</v>
      </c>
      <c r="H11" t="s">
        <v>173</v>
      </c>
      <c r="I11" t="s">
        <v>65</v>
      </c>
      <c r="J11" t="s">
        <v>117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21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20.545454545454547</v>
      </c>
    </row>
    <row r="14" spans="1:14" x14ac:dyDescent="0.3">
      <c r="A14" t="s">
        <v>181</v>
      </c>
      <c r="B14" t="s">
        <v>116</v>
      </c>
      <c r="C14" t="s">
        <v>66</v>
      </c>
      <c r="D14" t="s">
        <v>101</v>
      </c>
      <c r="E14" t="s">
        <v>182</v>
      </c>
      <c r="F14" t="s">
        <v>68</v>
      </c>
      <c r="G14" t="s">
        <v>57</v>
      </c>
      <c r="H14" t="s">
        <v>183</v>
      </c>
      <c r="I14" t="s">
        <v>76</v>
      </c>
      <c r="J14" t="s">
        <v>184</v>
      </c>
      <c r="K14" t="s">
        <v>185</v>
      </c>
      <c r="L14" t="s">
        <v>70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20.181818181818183</v>
      </c>
    </row>
    <row r="17" spans="1:20" x14ac:dyDescent="0.3">
      <c r="A17" t="s">
        <v>55</v>
      </c>
      <c r="B17" t="s">
        <v>116</v>
      </c>
      <c r="C17" t="s">
        <v>147</v>
      </c>
      <c r="D17" t="s">
        <v>101</v>
      </c>
      <c r="E17" t="s">
        <v>182</v>
      </c>
      <c r="F17" t="s">
        <v>68</v>
      </c>
      <c r="G17" t="s">
        <v>74</v>
      </c>
      <c r="H17" t="s">
        <v>173</v>
      </c>
      <c r="I17" t="s">
        <v>76</v>
      </c>
      <c r="J17" t="s">
        <v>200</v>
      </c>
      <c r="K17" t="s">
        <v>201</v>
      </c>
      <c r="L17" t="s">
        <v>70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21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20.363636363636363</v>
      </c>
      <c r="P18" t="s">
        <v>67</v>
      </c>
      <c r="Q18" s="6">
        <v>38998</v>
      </c>
      <c r="T18">
        <v>31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116</v>
      </c>
      <c r="C20" t="s">
        <v>185</v>
      </c>
      <c r="D20" t="s">
        <v>18</v>
      </c>
      <c r="E20" t="s">
        <v>65</v>
      </c>
      <c r="F20" t="s">
        <v>68</v>
      </c>
      <c r="G20" t="s">
        <v>74</v>
      </c>
      <c r="H20" t="s">
        <v>173</v>
      </c>
      <c r="I20" t="s">
        <v>148</v>
      </c>
      <c r="J20" t="s">
        <v>66</v>
      </c>
      <c r="K20" t="s">
        <v>201</v>
      </c>
      <c r="L20" t="s">
        <v>70</v>
      </c>
      <c r="N20" s="1"/>
      <c r="P20" t="s">
        <v>101</v>
      </c>
      <c r="Q20" s="6">
        <v>36322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21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21.272727272727273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116</v>
      </c>
      <c r="C23" t="s">
        <v>200</v>
      </c>
      <c r="D23" t="s">
        <v>18</v>
      </c>
      <c r="E23" t="s">
        <v>65</v>
      </c>
      <c r="F23" t="s">
        <v>68</v>
      </c>
      <c r="G23" t="s">
        <v>182</v>
      </c>
      <c r="H23" t="s">
        <v>225</v>
      </c>
      <c r="I23" t="s">
        <v>76</v>
      </c>
      <c r="J23" t="s">
        <v>66</v>
      </c>
      <c r="K23" t="s">
        <v>201</v>
      </c>
      <c r="L23" t="s">
        <v>101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20.90909090909091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116</v>
      </c>
      <c r="C26" t="s">
        <v>185</v>
      </c>
      <c r="D26" t="s">
        <v>18</v>
      </c>
      <c r="E26" t="s">
        <v>65</v>
      </c>
      <c r="F26" t="s">
        <v>68</v>
      </c>
      <c r="G26" t="s">
        <v>182</v>
      </c>
      <c r="H26" t="s">
        <v>225</v>
      </c>
      <c r="I26" t="s">
        <v>74</v>
      </c>
      <c r="J26" t="s">
        <v>66</v>
      </c>
      <c r="K26" t="s">
        <v>201</v>
      </c>
      <c r="L26" t="s">
        <v>101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21.636363636363637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169</v>
      </c>
      <c r="B29" t="s">
        <v>116</v>
      </c>
      <c r="C29" t="s">
        <v>200</v>
      </c>
      <c r="D29" t="s">
        <v>18</v>
      </c>
      <c r="E29" t="s">
        <v>65</v>
      </c>
      <c r="F29" t="s">
        <v>68</v>
      </c>
      <c r="G29" t="s">
        <v>76</v>
      </c>
      <c r="H29" t="s">
        <v>225</v>
      </c>
      <c r="I29" t="s">
        <v>57</v>
      </c>
      <c r="J29" t="s">
        <v>66</v>
      </c>
      <c r="K29" t="s">
        <v>201</v>
      </c>
      <c r="L29" t="s">
        <v>101</v>
      </c>
      <c r="N29" s="1"/>
      <c r="P29" t="s">
        <v>117</v>
      </c>
      <c r="Q29" s="6">
        <v>39243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21</v>
      </c>
      <c r="P30" t="s">
        <v>118</v>
      </c>
      <c r="Q30" s="6">
        <v>36567</v>
      </c>
    </row>
    <row r="31" spans="1:20" x14ac:dyDescent="0.3">
      <c r="P31" t="s">
        <v>116</v>
      </c>
      <c r="Q31" s="6">
        <v>38803</v>
      </c>
    </row>
    <row r="32" spans="1:20" x14ac:dyDescent="0.3">
      <c r="A32" t="s">
        <v>109</v>
      </c>
      <c r="B32" t="s">
        <v>116</v>
      </c>
      <c r="C32" t="s">
        <v>200</v>
      </c>
      <c r="D32" t="s">
        <v>18</v>
      </c>
      <c r="E32" t="s">
        <v>74</v>
      </c>
      <c r="F32" t="s">
        <v>183</v>
      </c>
      <c r="G32" t="s">
        <v>76</v>
      </c>
      <c r="H32" t="s">
        <v>173</v>
      </c>
      <c r="I32" t="s">
        <v>57</v>
      </c>
      <c r="J32" t="s">
        <v>66</v>
      </c>
      <c r="K32" t="s">
        <v>201</v>
      </c>
      <c r="L32" t="s">
        <v>101</v>
      </c>
      <c r="N32" s="1"/>
      <c r="P32" t="s">
        <v>147</v>
      </c>
      <c r="Q32" s="6">
        <v>39050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20</v>
      </c>
      <c r="G33">
        <f t="shared" ca="1" si="10"/>
        <v>17</v>
      </c>
      <c r="H33">
        <f t="shared" ca="1" si="10"/>
        <v>21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21.09090909090909</v>
      </c>
      <c r="P33" t="s">
        <v>148</v>
      </c>
      <c r="Q33" s="6">
        <v>38469</v>
      </c>
    </row>
    <row r="34" spans="1:17" x14ac:dyDescent="0.3">
      <c r="P34" t="s">
        <v>173</v>
      </c>
      <c r="Q34" s="6">
        <v>38419</v>
      </c>
    </row>
    <row r="35" spans="1:17" x14ac:dyDescent="0.3">
      <c r="A35" t="s">
        <v>50</v>
      </c>
      <c r="B35" t="s">
        <v>116</v>
      </c>
      <c r="C35" t="s">
        <v>200</v>
      </c>
      <c r="D35" t="s">
        <v>18</v>
      </c>
      <c r="E35" t="s">
        <v>74</v>
      </c>
      <c r="F35" t="s">
        <v>183</v>
      </c>
      <c r="G35" t="s">
        <v>76</v>
      </c>
      <c r="H35" t="s">
        <v>173</v>
      </c>
      <c r="I35" t="s">
        <v>57</v>
      </c>
      <c r="J35" t="s">
        <v>66</v>
      </c>
      <c r="K35" t="s">
        <v>201</v>
      </c>
      <c r="L35" t="s">
        <v>101</v>
      </c>
      <c r="N35" s="1"/>
      <c r="P35" t="s">
        <v>182</v>
      </c>
      <c r="Q35" s="6">
        <v>38919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20</v>
      </c>
      <c r="G36">
        <f t="shared" ca="1" si="11"/>
        <v>17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21.09090909090909</v>
      </c>
      <c r="P36" t="s">
        <v>183</v>
      </c>
      <c r="Q36" s="6">
        <v>38799</v>
      </c>
    </row>
    <row r="37" spans="1:17" x14ac:dyDescent="0.3">
      <c r="P37" t="s">
        <v>184</v>
      </c>
      <c r="Q37" s="6">
        <v>39609</v>
      </c>
    </row>
    <row r="38" spans="1:17" x14ac:dyDescent="0.3">
      <c r="A38" t="s">
        <v>153</v>
      </c>
      <c r="B38" t="s">
        <v>255</v>
      </c>
      <c r="C38" t="s">
        <v>147</v>
      </c>
      <c r="D38" t="s">
        <v>18</v>
      </c>
      <c r="E38" t="s">
        <v>74</v>
      </c>
      <c r="F38" t="s">
        <v>183</v>
      </c>
      <c r="G38" t="s">
        <v>148</v>
      </c>
      <c r="H38" t="s">
        <v>70</v>
      </c>
      <c r="I38" t="s">
        <v>57</v>
      </c>
      <c r="J38" t="s">
        <v>66</v>
      </c>
      <c r="K38" t="s">
        <v>201</v>
      </c>
      <c r="L38" t="s">
        <v>101</v>
      </c>
      <c r="N38" s="1"/>
      <c r="P38" t="s">
        <v>185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20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21.181818181818183</v>
      </c>
      <c r="P39" t="s">
        <v>200</v>
      </c>
      <c r="Q39" s="6">
        <v>38783</v>
      </c>
    </row>
    <row r="40" spans="1:17" x14ac:dyDescent="0.3">
      <c r="P40" t="s">
        <v>201</v>
      </c>
      <c r="Q40" s="6">
        <v>36576</v>
      </c>
    </row>
    <row r="41" spans="1:17" x14ac:dyDescent="0.3">
      <c r="A41" t="s">
        <v>163</v>
      </c>
      <c r="B41" t="s">
        <v>255</v>
      </c>
      <c r="C41" t="s">
        <v>147</v>
      </c>
      <c r="D41" t="s">
        <v>18</v>
      </c>
      <c r="E41" t="s">
        <v>74</v>
      </c>
      <c r="F41" t="s">
        <v>183</v>
      </c>
      <c r="G41" t="s">
        <v>173</v>
      </c>
      <c r="H41" t="s">
        <v>261</v>
      </c>
      <c r="I41" t="s">
        <v>117</v>
      </c>
      <c r="J41" t="s">
        <v>66</v>
      </c>
      <c r="K41" t="s">
        <v>201</v>
      </c>
      <c r="L41" t="s">
        <v>101</v>
      </c>
      <c r="N41" s="1"/>
      <c r="P41" t="s">
        <v>225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20</v>
      </c>
      <c r="G42">
        <f t="shared" ca="1" si="13"/>
        <v>21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21.818181818181817</v>
      </c>
      <c r="P42" t="s">
        <v>255</v>
      </c>
      <c r="Q42" s="6">
        <v>37995</v>
      </c>
    </row>
    <row r="43" spans="1:17" x14ac:dyDescent="0.3">
      <c r="P43" t="s">
        <v>261</v>
      </c>
      <c r="Q43" s="6">
        <v>36554</v>
      </c>
    </row>
    <row r="44" spans="1:17" x14ac:dyDescent="0.3">
      <c r="A44" t="s">
        <v>177</v>
      </c>
      <c r="B44" t="s">
        <v>255</v>
      </c>
      <c r="C44" t="s">
        <v>147</v>
      </c>
      <c r="D44" t="s">
        <v>18</v>
      </c>
      <c r="E44" t="s">
        <v>74</v>
      </c>
      <c r="F44" t="s">
        <v>183</v>
      </c>
      <c r="G44" t="s">
        <v>182</v>
      </c>
      <c r="H44" t="s">
        <v>272</v>
      </c>
      <c r="I44" t="s">
        <v>117</v>
      </c>
      <c r="J44" t="s">
        <v>66</v>
      </c>
      <c r="K44" t="s">
        <v>148</v>
      </c>
      <c r="L44" t="s">
        <v>101</v>
      </c>
      <c r="N44" s="1"/>
      <c r="P44" t="s">
        <v>272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20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20.636363636363637</v>
      </c>
      <c r="P45" t="s">
        <v>291</v>
      </c>
      <c r="Q45" s="6">
        <v>39164</v>
      </c>
    </row>
    <row r="46" spans="1:17" x14ac:dyDescent="0.3">
      <c r="P46" t="s">
        <v>294</v>
      </c>
      <c r="Q46" s="6">
        <v>39069</v>
      </c>
    </row>
    <row r="47" spans="1:17" x14ac:dyDescent="0.3">
      <c r="A47" t="s">
        <v>49</v>
      </c>
      <c r="B47" t="s">
        <v>255</v>
      </c>
      <c r="C47" t="s">
        <v>147</v>
      </c>
      <c r="D47" t="s">
        <v>18</v>
      </c>
      <c r="E47" t="s">
        <v>74</v>
      </c>
      <c r="F47" t="s">
        <v>183</v>
      </c>
      <c r="G47" t="s">
        <v>201</v>
      </c>
      <c r="H47" t="s">
        <v>57</v>
      </c>
      <c r="I47" t="s">
        <v>117</v>
      </c>
      <c r="J47" t="s">
        <v>66</v>
      </c>
      <c r="K47" t="s">
        <v>225</v>
      </c>
      <c r="L47" t="s">
        <v>101</v>
      </c>
      <c r="N47" s="1"/>
      <c r="P47" t="s">
        <v>297</v>
      </c>
      <c r="Q47" s="6">
        <v>38722</v>
      </c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20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21</v>
      </c>
      <c r="P48" t="s">
        <v>308</v>
      </c>
      <c r="Q48" s="6">
        <v>39860</v>
      </c>
    </row>
    <row r="50" spans="1:14" x14ac:dyDescent="0.3">
      <c r="A50" t="s">
        <v>46</v>
      </c>
      <c r="B50" t="s">
        <v>255</v>
      </c>
      <c r="C50" t="s">
        <v>147</v>
      </c>
      <c r="D50" t="s">
        <v>182</v>
      </c>
      <c r="E50" t="s">
        <v>74</v>
      </c>
      <c r="F50" t="s">
        <v>183</v>
      </c>
      <c r="G50" t="s">
        <v>201</v>
      </c>
      <c r="H50" t="s">
        <v>200</v>
      </c>
      <c r="I50" t="s">
        <v>117</v>
      </c>
      <c r="J50" t="s">
        <v>66</v>
      </c>
      <c r="K50" t="s">
        <v>225</v>
      </c>
      <c r="L50" t="s">
        <v>101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20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20.636363636363637</v>
      </c>
    </row>
    <row r="53" spans="1:14" x14ac:dyDescent="0.3">
      <c r="A53" t="s">
        <v>231</v>
      </c>
      <c r="B53" t="s">
        <v>291</v>
      </c>
      <c r="C53" t="s">
        <v>147</v>
      </c>
      <c r="D53" t="s">
        <v>18</v>
      </c>
      <c r="E53" t="s">
        <v>74</v>
      </c>
      <c r="F53" t="s">
        <v>183</v>
      </c>
      <c r="G53" t="s">
        <v>201</v>
      </c>
      <c r="H53" t="s">
        <v>57</v>
      </c>
      <c r="I53" t="s">
        <v>117</v>
      </c>
      <c r="J53" t="s">
        <v>66</v>
      </c>
      <c r="K53" t="s">
        <v>225</v>
      </c>
      <c r="L53" t="s">
        <v>101</v>
      </c>
      <c r="N53" s="1"/>
    </row>
    <row r="54" spans="1:14" x14ac:dyDescent="0.3">
      <c r="B54">
        <f ca="1">DATEDIF(VLOOKUP(B53,$P$18:$Q$100,2,FALSE),TODAY(),"Y")</f>
        <v>19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20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20.727272727272727</v>
      </c>
    </row>
    <row r="56" spans="1:14" x14ac:dyDescent="0.3">
      <c r="A56" t="s">
        <v>181</v>
      </c>
      <c r="B56" t="s">
        <v>291</v>
      </c>
      <c r="C56" t="s">
        <v>294</v>
      </c>
      <c r="D56" t="s">
        <v>18</v>
      </c>
      <c r="E56" t="s">
        <v>74</v>
      </c>
      <c r="F56" t="s">
        <v>65</v>
      </c>
      <c r="G56" t="s">
        <v>201</v>
      </c>
      <c r="H56" t="s">
        <v>57</v>
      </c>
      <c r="I56" t="s">
        <v>117</v>
      </c>
      <c r="J56" t="s">
        <v>66</v>
      </c>
      <c r="K56" t="s">
        <v>225</v>
      </c>
      <c r="L56" t="s">
        <v>101</v>
      </c>
      <c r="N56" s="1"/>
    </row>
    <row r="57" spans="1:14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18</v>
      </c>
      <c r="L57">
        <f t="shared" ca="1" si="18"/>
        <v>26</v>
      </c>
      <c r="N57" s="1">
        <f ca="1">AVERAGE(B57:M57)</f>
        <v>20.90909090909091</v>
      </c>
    </row>
    <row r="59" spans="1:14" x14ac:dyDescent="0.3">
      <c r="A59" t="s">
        <v>51</v>
      </c>
      <c r="B59" t="s">
        <v>291</v>
      </c>
      <c r="C59" t="s">
        <v>147</v>
      </c>
      <c r="D59" t="s">
        <v>18</v>
      </c>
      <c r="E59" t="s">
        <v>74</v>
      </c>
      <c r="F59" t="s">
        <v>182</v>
      </c>
      <c r="G59" t="s">
        <v>201</v>
      </c>
      <c r="H59" t="s">
        <v>57</v>
      </c>
      <c r="I59" t="s">
        <v>117</v>
      </c>
      <c r="J59" t="s">
        <v>66</v>
      </c>
      <c r="K59" t="s">
        <v>297</v>
      </c>
      <c r="L59" t="s">
        <v>101</v>
      </c>
      <c r="N59" s="1"/>
    </row>
    <row r="60" spans="1:14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19</v>
      </c>
      <c r="D60">
        <f t="shared" ca="1" si="19"/>
        <v>23</v>
      </c>
      <c r="E60">
        <f t="shared" ca="1" si="19"/>
        <v>19</v>
      </c>
      <c r="F60">
        <f t="shared" ca="1" si="19"/>
        <v>19</v>
      </c>
      <c r="G60">
        <f t="shared" ca="1" si="19"/>
        <v>26</v>
      </c>
      <c r="H60">
        <f t="shared" ca="1" si="19"/>
        <v>20</v>
      </c>
      <c r="I60">
        <f t="shared" ca="1" si="19"/>
        <v>18</v>
      </c>
      <c r="J60">
        <f t="shared" ca="1" si="19"/>
        <v>20</v>
      </c>
      <c r="K60">
        <f t="shared" ca="1" si="19"/>
        <v>20</v>
      </c>
      <c r="L60">
        <f t="shared" ca="1" si="19"/>
        <v>26</v>
      </c>
      <c r="N60" s="1">
        <f ca="1">AVERAGE(B60:M60)</f>
        <v>20.818181818181817</v>
      </c>
    </row>
    <row r="62" spans="1:14" x14ac:dyDescent="0.3">
      <c r="A62" t="s">
        <v>55</v>
      </c>
      <c r="B62" t="s">
        <v>291</v>
      </c>
      <c r="C62" t="s">
        <v>294</v>
      </c>
      <c r="D62" t="s">
        <v>18</v>
      </c>
      <c r="E62" t="s">
        <v>74</v>
      </c>
      <c r="F62" t="s">
        <v>65</v>
      </c>
      <c r="G62" t="s">
        <v>201</v>
      </c>
      <c r="H62" t="s">
        <v>57</v>
      </c>
      <c r="I62" t="s">
        <v>117</v>
      </c>
      <c r="J62" t="s">
        <v>66</v>
      </c>
      <c r="K62" t="s">
        <v>225</v>
      </c>
      <c r="L62" t="s">
        <v>101</v>
      </c>
      <c r="N62" s="1"/>
    </row>
    <row r="63" spans="1:14" x14ac:dyDescent="0.3">
      <c r="B63">
        <f ca="1">DATEDIF(VLOOKUP(B62,$P$18:$Q$100,2,FALSE),TODAY(),"Y")</f>
        <v>19</v>
      </c>
      <c r="C63">
        <f t="shared" ref="C63:L63" ca="1" si="20">DATEDIF(VLOOKUP(C62,$P$18:$Q$100,2,FALSE),TODAY(),"Y")</f>
        <v>19</v>
      </c>
      <c r="D63">
        <f t="shared" ca="1" si="20"/>
        <v>23</v>
      </c>
      <c r="E63">
        <f t="shared" ca="1" si="20"/>
        <v>19</v>
      </c>
      <c r="F63">
        <f t="shared" ca="1" si="20"/>
        <v>22</v>
      </c>
      <c r="G63">
        <f t="shared" ca="1" si="20"/>
        <v>26</v>
      </c>
      <c r="H63">
        <f t="shared" ca="1" si="20"/>
        <v>20</v>
      </c>
      <c r="I63">
        <f t="shared" ca="1" si="20"/>
        <v>18</v>
      </c>
      <c r="J63">
        <f t="shared" ca="1" si="20"/>
        <v>20</v>
      </c>
      <c r="K63">
        <f t="shared" ca="1" si="20"/>
        <v>18</v>
      </c>
      <c r="L63">
        <f t="shared" ca="1" si="20"/>
        <v>26</v>
      </c>
      <c r="N63" s="1">
        <f ca="1">AVERAGE(B63:M63)</f>
        <v>20.90909090909091</v>
      </c>
    </row>
    <row r="65" spans="1:14" x14ac:dyDescent="0.3">
      <c r="A65" t="s">
        <v>41</v>
      </c>
      <c r="B65" t="s">
        <v>116</v>
      </c>
      <c r="C65" t="s">
        <v>294</v>
      </c>
      <c r="D65" t="s">
        <v>18</v>
      </c>
      <c r="E65" t="s">
        <v>74</v>
      </c>
      <c r="F65" t="s">
        <v>65</v>
      </c>
      <c r="G65" t="s">
        <v>201</v>
      </c>
      <c r="H65" t="s">
        <v>57</v>
      </c>
      <c r="I65" t="s">
        <v>117</v>
      </c>
      <c r="J65" t="s">
        <v>66</v>
      </c>
      <c r="K65" t="s">
        <v>308</v>
      </c>
      <c r="L65" t="s">
        <v>101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23</v>
      </c>
      <c r="E66">
        <f t="shared" ca="1" si="21"/>
        <v>19</v>
      </c>
      <c r="F66">
        <f t="shared" ca="1" si="21"/>
        <v>22</v>
      </c>
      <c r="G66">
        <f t="shared" ca="1" si="21"/>
        <v>26</v>
      </c>
      <c r="H66">
        <f t="shared" ca="1" si="21"/>
        <v>20</v>
      </c>
      <c r="I66">
        <f t="shared" ca="1" si="21"/>
        <v>18</v>
      </c>
      <c r="J66">
        <f t="shared" ca="1" si="21"/>
        <v>20</v>
      </c>
      <c r="K66">
        <f t="shared" ca="1" si="21"/>
        <v>17</v>
      </c>
      <c r="L66">
        <f t="shared" ca="1" si="21"/>
        <v>26</v>
      </c>
      <c r="N66" s="1">
        <f ca="1">AVERAGE(B66:M66)</f>
        <v>20.90909090909091</v>
      </c>
    </row>
    <row r="68" spans="1:14" x14ac:dyDescent="0.3">
      <c r="A68" t="s">
        <v>60</v>
      </c>
      <c r="B68" t="s">
        <v>116</v>
      </c>
      <c r="C68" t="s">
        <v>294</v>
      </c>
      <c r="D68" t="s">
        <v>18</v>
      </c>
      <c r="E68" t="s">
        <v>74</v>
      </c>
      <c r="F68" t="s">
        <v>65</v>
      </c>
      <c r="G68" t="s">
        <v>201</v>
      </c>
      <c r="H68" t="s">
        <v>57</v>
      </c>
      <c r="I68" t="s">
        <v>68</v>
      </c>
      <c r="J68" t="s">
        <v>66</v>
      </c>
      <c r="K68" t="s">
        <v>225</v>
      </c>
      <c r="L68" t="s">
        <v>101</v>
      </c>
      <c r="N68" s="1"/>
    </row>
    <row r="69" spans="1:14" x14ac:dyDescent="0.3">
      <c r="B69">
        <f ca="1">DATEDIF(VLOOKUP(B68,$P$18:$Q$100,2,FALSE),TODAY(),"Y")</f>
        <v>20</v>
      </c>
      <c r="C69">
        <f t="shared" ref="C69:L69" ca="1" si="22">DATEDIF(VLOOKUP(C68,$P$18:$Q$100,2,FALSE),TODAY(),"Y")</f>
        <v>19</v>
      </c>
      <c r="D69">
        <f t="shared" ca="1" si="22"/>
        <v>23</v>
      </c>
      <c r="E69">
        <f t="shared" ca="1" si="22"/>
        <v>19</v>
      </c>
      <c r="F69">
        <f t="shared" ca="1" si="22"/>
        <v>22</v>
      </c>
      <c r="G69">
        <f t="shared" ca="1" si="22"/>
        <v>26</v>
      </c>
      <c r="H69">
        <f t="shared" ca="1" si="22"/>
        <v>20</v>
      </c>
      <c r="I69">
        <f t="shared" ca="1" si="22"/>
        <v>19</v>
      </c>
      <c r="J69">
        <f t="shared" ca="1" si="22"/>
        <v>20</v>
      </c>
      <c r="K69">
        <f t="shared" ca="1" si="22"/>
        <v>18</v>
      </c>
      <c r="L69">
        <f t="shared" ca="1" si="22"/>
        <v>26</v>
      </c>
      <c r="N69" s="1">
        <f ca="1">AVERAGE(B69:M69)</f>
        <v>21.09090909090909</v>
      </c>
    </row>
    <row r="71" spans="1:14" x14ac:dyDescent="0.3">
      <c r="A71" t="s">
        <v>53</v>
      </c>
      <c r="B71" t="s">
        <v>116</v>
      </c>
      <c r="C71" t="s">
        <v>294</v>
      </c>
      <c r="D71" t="s">
        <v>18</v>
      </c>
      <c r="E71" t="s">
        <v>117</v>
      </c>
      <c r="F71" t="s">
        <v>184</v>
      </c>
      <c r="G71" t="s">
        <v>201</v>
      </c>
      <c r="H71" t="s">
        <v>308</v>
      </c>
      <c r="I71" t="s">
        <v>68</v>
      </c>
      <c r="J71" t="s">
        <v>66</v>
      </c>
      <c r="K71" t="s">
        <v>182</v>
      </c>
      <c r="L71" t="s">
        <v>101</v>
      </c>
      <c r="N71" s="1"/>
    </row>
    <row r="72" spans="1:14" x14ac:dyDescent="0.3">
      <c r="B72">
        <f ca="1">DATEDIF(VLOOKUP(B71,$P$18:$Q$100,2,FALSE),TODAY(),"Y")</f>
        <v>20</v>
      </c>
      <c r="C72">
        <f t="shared" ref="C72:L72" ca="1" si="23">DATEDIF(VLOOKUP(C71,$P$18:$Q$100,2,FALSE),TODAY(),"Y")</f>
        <v>19</v>
      </c>
      <c r="D72">
        <f t="shared" ca="1" si="23"/>
        <v>23</v>
      </c>
      <c r="E72">
        <f t="shared" ca="1" si="23"/>
        <v>18</v>
      </c>
      <c r="F72">
        <f t="shared" ca="1" si="23"/>
        <v>17</v>
      </c>
      <c r="G72">
        <f t="shared" ca="1" si="23"/>
        <v>26</v>
      </c>
      <c r="H72">
        <f t="shared" ca="1" si="23"/>
        <v>17</v>
      </c>
      <c r="I72">
        <f t="shared" ca="1" si="23"/>
        <v>19</v>
      </c>
      <c r="J72">
        <f t="shared" ca="1" si="23"/>
        <v>20</v>
      </c>
      <c r="K72">
        <f t="shared" ca="1" si="23"/>
        <v>19</v>
      </c>
      <c r="L72">
        <f t="shared" ca="1" si="23"/>
        <v>26</v>
      </c>
      <c r="N72" s="1">
        <f ca="1">AVERAGE(B72:M72)</f>
        <v>20.363636363636363</v>
      </c>
    </row>
    <row r="74" spans="1:14" x14ac:dyDescent="0.3">
      <c r="A74" t="s">
        <v>169</v>
      </c>
      <c r="B74" t="s">
        <v>116</v>
      </c>
      <c r="C74" t="s">
        <v>294</v>
      </c>
      <c r="D74" t="s">
        <v>18</v>
      </c>
      <c r="E74" t="s">
        <v>117</v>
      </c>
      <c r="F74" t="s">
        <v>65</v>
      </c>
      <c r="G74" t="s">
        <v>201</v>
      </c>
      <c r="H74" t="s">
        <v>308</v>
      </c>
      <c r="I74" t="s">
        <v>68</v>
      </c>
      <c r="J74" t="s">
        <v>66</v>
      </c>
      <c r="K74" t="s">
        <v>182</v>
      </c>
      <c r="L74" t="s">
        <v>101</v>
      </c>
      <c r="N74" s="1"/>
    </row>
    <row r="75" spans="1:14" x14ac:dyDescent="0.3">
      <c r="B75">
        <f ca="1">DATEDIF(VLOOKUP(B74,$P$18:$Q$100,2,FALSE),TODAY(),"Y")</f>
        <v>20</v>
      </c>
      <c r="C75">
        <f t="shared" ref="C75:L75" ca="1" si="24">DATEDIF(VLOOKUP(C74,$P$18:$Q$100,2,FALSE),TODAY(),"Y")</f>
        <v>19</v>
      </c>
      <c r="D75">
        <f t="shared" ca="1" si="24"/>
        <v>23</v>
      </c>
      <c r="E75">
        <f t="shared" ca="1" si="24"/>
        <v>18</v>
      </c>
      <c r="F75">
        <f t="shared" ca="1" si="24"/>
        <v>22</v>
      </c>
      <c r="G75">
        <f t="shared" ca="1" si="24"/>
        <v>26</v>
      </c>
      <c r="H75">
        <f t="shared" ca="1" si="24"/>
        <v>17</v>
      </c>
      <c r="I75">
        <f t="shared" ca="1" si="24"/>
        <v>19</v>
      </c>
      <c r="J75">
        <f t="shared" ca="1" si="24"/>
        <v>20</v>
      </c>
      <c r="K75">
        <f t="shared" ca="1" si="24"/>
        <v>19</v>
      </c>
      <c r="L75">
        <f t="shared" ca="1" si="24"/>
        <v>26</v>
      </c>
      <c r="N75" s="1">
        <f ca="1">AVERAGE(B75:M75)</f>
        <v>20.818181818181817</v>
      </c>
    </row>
    <row r="77" spans="1:14" x14ac:dyDescent="0.3">
      <c r="A77" t="s">
        <v>109</v>
      </c>
      <c r="B77" t="s">
        <v>116</v>
      </c>
      <c r="C77" t="s">
        <v>294</v>
      </c>
      <c r="D77" t="s">
        <v>18</v>
      </c>
      <c r="E77" t="s">
        <v>74</v>
      </c>
      <c r="F77" t="s">
        <v>184</v>
      </c>
      <c r="G77" t="s">
        <v>201</v>
      </c>
      <c r="H77" t="s">
        <v>308</v>
      </c>
      <c r="I77" t="s">
        <v>68</v>
      </c>
      <c r="J77" t="s">
        <v>66</v>
      </c>
      <c r="K77" t="s">
        <v>57</v>
      </c>
      <c r="L77" t="s">
        <v>101</v>
      </c>
      <c r="N77" s="1"/>
    </row>
    <row r="78" spans="1:14" x14ac:dyDescent="0.3">
      <c r="B78">
        <f ca="1">DATEDIF(VLOOKUP(B77,$P$18:$Q$100,2,FALSE),TODAY(),"Y")</f>
        <v>20</v>
      </c>
      <c r="C78">
        <f t="shared" ref="C78:L78" ca="1" si="25">DATEDIF(VLOOKUP(C77,$P$18:$Q$100,2,FALSE),TODAY(),"Y")</f>
        <v>19</v>
      </c>
      <c r="D78">
        <f t="shared" ca="1" si="25"/>
        <v>23</v>
      </c>
      <c r="E78">
        <f t="shared" ca="1" si="25"/>
        <v>19</v>
      </c>
      <c r="F78">
        <f t="shared" ca="1" si="25"/>
        <v>17</v>
      </c>
      <c r="G78">
        <f t="shared" ca="1" si="25"/>
        <v>26</v>
      </c>
      <c r="H78">
        <f t="shared" ca="1" si="25"/>
        <v>17</v>
      </c>
      <c r="I78">
        <f t="shared" ca="1" si="25"/>
        <v>19</v>
      </c>
      <c r="J78">
        <f t="shared" ca="1" si="25"/>
        <v>20</v>
      </c>
      <c r="K78">
        <f t="shared" ca="1" si="25"/>
        <v>20</v>
      </c>
      <c r="L78">
        <f t="shared" ca="1" si="25"/>
        <v>26</v>
      </c>
      <c r="N78" s="1">
        <f ca="1">AVERAGE(B78:M78)</f>
        <v>20.545454545454547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2026-04-20T09:00:34Z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